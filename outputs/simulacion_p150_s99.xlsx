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_SIMULACION" sheetId="1" state="visible" r:id="rId1"/>
    <sheet name="COLA_PRIORIDAD" sheetId="2" state="visible" r:id="rId2"/>
    <sheet name="DASHBOARD_GENERAL" sheetId="3" state="visible" r:id="rId3"/>
    <sheet name="DASHBOARD_POR_PACIENTE" sheetId="4" state="visible" r:id="rId4"/>
    <sheet name="DASHBOARD_HORAS_P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B7950B"/>
      <sz val="9"/>
    </font>
    <font>
      <name val="Calibri"/>
      <b val="1"/>
      <color rgb="001E8449"/>
      <sz val="9"/>
    </font>
    <font>
      <name val="Calibri"/>
      <b val="1"/>
      <color rgb="00C0392B"/>
      <sz val="9"/>
    </font>
    <font>
      <name val="Calibri"/>
      <b val="1"/>
      <color rgb="001A5276"/>
      <sz val="9"/>
    </font>
    <font>
      <name val="Calibri"/>
      <b val="1"/>
      <color rgb="00CA6F1E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1A3A5C"/>
      <sz val="12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A3"/>
      </patternFill>
    </fill>
    <fill>
      <patternFill patternType="solid">
        <fgColor rgb="00FFEECC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CCE5FF"/>
      </patternFill>
    </fill>
    <fill>
      <patternFill patternType="solid">
        <fgColor rgb="00FFE5CC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FFACC"/>
      </patternFill>
    </fill>
    <fill>
      <patternFill patternType="solid">
        <fgColor rgb="00FFD5D5"/>
      </patternFill>
    </fill>
    <fill>
      <patternFill patternType="solid">
        <fgColor rgb="00FFF3E0"/>
      </patternFill>
    </fill>
    <fill>
      <patternFill patternType="solid">
        <fgColor rgb="00E8F8F5"/>
      </patternFill>
    </fill>
    <fill>
      <patternFill patternType="solid">
        <fgColor rgb="00FFE0B2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2" fillId="19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Nivel de Triage</a:t>
            </a:r>
          </a:p>
        </rich>
      </tx>
    </title>
    <plotArea>
      <pieChart>
        <varyColors val="1"/>
        <ser>
          <idx val="0"/>
          <order val="0"/>
          <tx>
            <strRef>
              <f>'DASHBOARD_GENERAL'!B19</f>
            </strRef>
          </tx>
          <spPr>
            <a:ln>
              <a:prstDash val="solid"/>
            </a:ln>
          </spPr>
          <cat>
            <numRef>
              <f>'DASHBOARD_GENERAL'!$A$20:$A$24</f>
            </numRef>
          </cat>
          <val>
            <numRef>
              <f>'DASHBOARD_GENERAL'!$B$20:$B$24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Asignados por Doctor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'DASHBOARD_GENERAL'!B27</f>
            </strRef>
          </tx>
          <spPr>
            <a:ln>
              <a:prstDash val="solid"/>
            </a:ln>
          </spPr>
          <cat>
            <numRef>
              <f>'DASHBOARD_GENERAL'!$A$28:$A$32</f>
            </numRef>
          </cat>
          <val>
            <numRef>
              <f>'DASHBOARD_GENERAL'!$B$28:$B$32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por Hora del Día (Simulación Horas Pico)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'DASHBOARD_HORAS_PICO'!B4</f>
            </strRef>
          </tx>
          <spPr>
            <a:ln>
              <a:prstDash val="solid"/>
            </a:ln>
          </spPr>
          <cat>
            <numRef>
              <f>'DASHBOARD_HORAS_PICO'!$A$5:$A$21</f>
            </numRef>
          </cat>
          <val>
            <numRef>
              <f>'DASHBOARD_HORAS_PICO'!$B$5:$B$21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29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6" customWidth="1" min="4" max="4"/>
    <col width="6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36" customWidth="1" min="12" max="12"/>
    <col width="14" customWidth="1" min="13" max="13"/>
    <col width="15" customWidth="1" min="14" max="14"/>
    <col width="15" customWidth="1" min="15" max="15"/>
    <col width="24" customWidth="1" min="16" max="16"/>
  </cols>
  <sheetData>
    <row r="1" ht="28" customHeight="1">
      <c r="A1" s="1" t="inlineStr">
        <is>
          <t>🏥 SIMULACIÓN HORAS PICO — HOSPITAL DEL TUNAL · URGENCIAS</t>
        </is>
      </c>
    </row>
    <row r="2" ht="18" customHeight="1">
      <c r="A2" s="2" t="inlineStr">
        <is>
          <t>Generado: 2026-05-26 11:08  |  60 pacientes  |  Seed 42 (reproducible)</t>
        </is>
      </c>
    </row>
    <row r="3">
      <c r="A3" s="3" t="inlineStr">
        <is>
          <t>N° TURNO</t>
        </is>
      </c>
      <c r="B3" s="3" t="inlineStr">
        <is>
          <t>NOMBRE COMPLETO</t>
        </is>
      </c>
      <c r="C3" s="3" t="inlineStr">
        <is>
          <t>CÉDULA</t>
        </is>
      </c>
      <c r="D3" s="3" t="inlineStr">
        <is>
          <t>SEXO</t>
        </is>
      </c>
      <c r="E3" s="3" t="inlineStr">
        <is>
          <t>EDAD</t>
        </is>
      </c>
      <c r="F3" s="3" t="inlineStr">
        <is>
          <t>GRUPO EDAD</t>
        </is>
      </c>
      <c r="G3" s="3" t="inlineStr">
        <is>
          <t>FECHA NAC.</t>
        </is>
      </c>
      <c r="H3" s="3" t="inlineStr">
        <is>
          <t>EPS</t>
        </is>
      </c>
      <c r="I3" s="3" t="inlineStr">
        <is>
          <t>TELÉFONO</t>
        </is>
      </c>
      <c r="J3" s="3" t="inlineStr">
        <is>
          <t>TEL. EMERGENCIA</t>
        </is>
      </c>
      <c r="K3" s="3" t="inlineStr">
        <is>
          <t>HORA REGISTRO</t>
        </is>
      </c>
      <c r="L3" s="3" t="inlineStr">
        <is>
          <t>TIPO EMERGENCIA</t>
        </is>
      </c>
      <c r="M3" s="3" t="inlineStr">
        <is>
          <t>TRIAGE</t>
        </is>
      </c>
      <c r="N3" s="3" t="inlineStr">
        <is>
          <t>T. ATENCIÓN (min)</t>
        </is>
      </c>
      <c r="O3" s="3" t="inlineStr">
        <is>
          <t>ESPERA EST. (min)</t>
        </is>
      </c>
      <c r="P3" s="3" t="inlineStr">
        <is>
          <t>DOCTOR ASIGNADO</t>
        </is>
      </c>
    </row>
    <row r="4">
      <c r="A4" s="4" t="n">
        <v>29</v>
      </c>
      <c r="B4" s="5" t="inlineStr">
        <is>
          <t>Daniela Morales Vargas</t>
        </is>
      </c>
      <c r="C4" s="6" t="inlineStr">
        <is>
          <t>82251396</t>
        </is>
      </c>
      <c r="D4" s="6" t="inlineStr">
        <is>
          <t>F</t>
        </is>
      </c>
      <c r="E4" s="6" t="n">
        <v>18</v>
      </c>
      <c r="F4" s="6" t="inlineStr">
        <is>
          <t>Adulto</t>
        </is>
      </c>
      <c r="G4" s="6" t="inlineStr">
        <is>
          <t>2008-05-26</t>
        </is>
      </c>
      <c r="H4" s="5" t="inlineStr">
        <is>
          <t>FAMISANAR</t>
        </is>
      </c>
      <c r="I4" s="6" t="inlineStr">
        <is>
          <t>3191012461</t>
        </is>
      </c>
      <c r="J4" s="6" t="inlineStr">
        <is>
          <t>3652911995</t>
        </is>
      </c>
      <c r="K4" s="6" t="inlineStr">
        <is>
          <t>07:07:00</t>
        </is>
      </c>
      <c r="L4" s="5" t="inlineStr">
        <is>
          <t>Fractura con compromiso vascular</t>
        </is>
      </c>
      <c r="M4" s="7" t="inlineStr">
        <is>
          <t>T3 · AMARILLO</t>
        </is>
      </c>
      <c r="N4" s="6" t="n">
        <v>35</v>
      </c>
      <c r="O4" s="6" t="n">
        <v>43</v>
      </c>
      <c r="P4" s="5" t="inlineStr">
        <is>
          <t>Felipe Herrera</t>
        </is>
      </c>
    </row>
    <row r="5">
      <c r="A5" s="4" t="n">
        <v>100</v>
      </c>
      <c r="B5" s="5" t="inlineStr">
        <is>
          <t>Valentina Morales Torres</t>
        </is>
      </c>
      <c r="C5" s="6" t="inlineStr">
        <is>
          <t>71962440</t>
        </is>
      </c>
      <c r="D5" s="6" t="inlineStr">
        <is>
          <t>F</t>
        </is>
      </c>
      <c r="E5" s="6" t="n">
        <v>64</v>
      </c>
      <c r="F5" s="6" t="inlineStr">
        <is>
          <t>Adulto mayor</t>
        </is>
      </c>
      <c r="G5" s="6" t="inlineStr">
        <is>
          <t>1962-05-26</t>
        </is>
      </c>
      <c r="H5" s="5" t="inlineStr">
        <is>
          <t>NUEVA EPS</t>
        </is>
      </c>
      <c r="I5" s="6" t="inlineStr">
        <is>
          <t>3509254625</t>
        </is>
      </c>
      <c r="J5" s="6" t="inlineStr">
        <is>
          <t>3764885357</t>
        </is>
      </c>
      <c r="K5" s="6" t="inlineStr">
        <is>
          <t>07:07:00</t>
        </is>
      </c>
      <c r="L5" s="5" t="inlineStr">
        <is>
          <t>Fiebre alta con convulsión</t>
        </is>
      </c>
      <c r="M5" s="8" t="inlineStr">
        <is>
          <t>T4 · VERDE</t>
        </is>
      </c>
      <c r="N5" s="6" t="n">
        <v>25</v>
      </c>
      <c r="O5" s="6" t="n">
        <v>4</v>
      </c>
      <c r="P5" s="5" t="inlineStr">
        <is>
          <t>Carlos Ramírez</t>
        </is>
      </c>
    </row>
    <row r="6">
      <c r="A6" s="4" t="n">
        <v>16</v>
      </c>
      <c r="B6" s="5" t="inlineStr">
        <is>
          <t>Juliana Pardo Ríos</t>
        </is>
      </c>
      <c r="C6" s="6" t="inlineStr">
        <is>
          <t>28274067</t>
        </is>
      </c>
      <c r="D6" s="6" t="inlineStr">
        <is>
          <t>F</t>
        </is>
      </c>
      <c r="E6" s="6" t="n">
        <v>63</v>
      </c>
      <c r="F6" s="6" t="inlineStr">
        <is>
          <t>Adulto mayor</t>
        </is>
      </c>
      <c r="G6" s="6" t="inlineStr">
        <is>
          <t>1963-05-26</t>
        </is>
      </c>
      <c r="H6" s="5" t="inlineStr">
        <is>
          <t>SANITAS</t>
        </is>
      </c>
      <c r="I6" s="6" t="inlineStr">
        <is>
          <t>3661964800</t>
        </is>
      </c>
      <c r="J6" s="6" t="inlineStr">
        <is>
          <t>3998008132</t>
        </is>
      </c>
      <c r="K6" s="6" t="inlineStr">
        <is>
          <t>07:09:00</t>
        </is>
      </c>
      <c r="L6" s="5" t="inlineStr">
        <is>
          <t>Paro cardiorrespiratorio</t>
        </is>
      </c>
      <c r="M6" s="9" t="inlineStr">
        <is>
          <t>T1 · ROJO</t>
        </is>
      </c>
      <c r="N6" s="6" t="n">
        <v>60</v>
      </c>
      <c r="O6" s="6" t="n">
        <v>71</v>
      </c>
      <c r="P6" s="5" t="inlineStr">
        <is>
          <t>Andrés Martínez</t>
        </is>
      </c>
    </row>
    <row r="7">
      <c r="A7" s="4" t="n">
        <v>28</v>
      </c>
      <c r="B7" s="5" t="inlineStr">
        <is>
          <t>Juliana Herrera Alvarado</t>
        </is>
      </c>
      <c r="C7" s="6" t="inlineStr">
        <is>
          <t>50944418</t>
        </is>
      </c>
      <c r="D7" s="6" t="inlineStr">
        <is>
          <t>F</t>
        </is>
      </c>
      <c r="E7" s="6" t="n">
        <v>60</v>
      </c>
      <c r="F7" s="6" t="inlineStr">
        <is>
          <t>Adulto mayor</t>
        </is>
      </c>
      <c r="G7" s="6" t="inlineStr">
        <is>
          <t>1966-05-26</t>
        </is>
      </c>
      <c r="H7" s="5" t="inlineStr">
        <is>
          <t>SANITAS</t>
        </is>
      </c>
      <c r="I7" s="6" t="inlineStr">
        <is>
          <t>3872313989</t>
        </is>
      </c>
      <c r="J7" s="6" t="inlineStr">
        <is>
          <t>3581302987</t>
        </is>
      </c>
      <c r="K7" s="6" t="inlineStr">
        <is>
          <t>07:14:00</t>
        </is>
      </c>
      <c r="L7" s="5" t="inlineStr">
        <is>
          <t>Dolor leve / Malestar general</t>
        </is>
      </c>
      <c r="M7" s="10" t="inlineStr">
        <is>
          <t>T5 · AZUL</t>
        </is>
      </c>
      <c r="N7" s="6" t="n">
        <v>15</v>
      </c>
      <c r="O7" s="6" t="n">
        <v>45</v>
      </c>
      <c r="P7" s="5" t="inlineStr">
        <is>
          <t>Laura Gómez</t>
        </is>
      </c>
    </row>
    <row r="8">
      <c r="A8" s="4" t="n">
        <v>90</v>
      </c>
      <c r="B8" s="5" t="inlineStr">
        <is>
          <t>Juliana Gómez Castro</t>
        </is>
      </c>
      <c r="C8" s="6" t="inlineStr">
        <is>
          <t>48802649</t>
        </is>
      </c>
      <c r="D8" s="6" t="inlineStr">
        <is>
          <t>F</t>
        </is>
      </c>
      <c r="E8" s="6" t="n">
        <v>82</v>
      </c>
      <c r="F8" s="6" t="inlineStr">
        <is>
          <t>Anciano</t>
        </is>
      </c>
      <c r="G8" s="6" t="inlineStr">
        <is>
          <t>1944-05-26</t>
        </is>
      </c>
      <c r="H8" s="5" t="inlineStr">
        <is>
          <t>SALUD TOTAL</t>
        </is>
      </c>
      <c r="I8" s="6" t="inlineStr">
        <is>
          <t>3208332016</t>
        </is>
      </c>
      <c r="J8" s="6" t="inlineStr">
        <is>
          <t>3762771967</t>
        </is>
      </c>
      <c r="K8" s="6" t="inlineStr">
        <is>
          <t>07:19:00</t>
        </is>
      </c>
      <c r="L8" s="5" t="inlineStr">
        <is>
          <t>Fractura con compromiso vascular</t>
        </is>
      </c>
      <c r="M8" s="7" t="inlineStr">
        <is>
          <t>T3 · AMARILLO</t>
        </is>
      </c>
      <c r="N8" s="6" t="n">
        <v>35</v>
      </c>
      <c r="O8" s="6" t="n">
        <v>36</v>
      </c>
      <c r="P8" s="5" t="inlineStr">
        <is>
          <t>Carlos Ramírez</t>
        </is>
      </c>
    </row>
    <row r="9">
      <c r="A9" s="4" t="n">
        <v>1</v>
      </c>
      <c r="B9" s="5" t="inlineStr">
        <is>
          <t>Juliana Medina Cruz</t>
        </is>
      </c>
      <c r="C9" s="6" t="inlineStr">
        <is>
          <t>33998441</t>
        </is>
      </c>
      <c r="D9" s="6" t="inlineStr">
        <is>
          <t>F</t>
        </is>
      </c>
      <c r="E9" s="6" t="n">
        <v>27</v>
      </c>
      <c r="F9" s="6" t="inlineStr">
        <is>
          <t>Adulto</t>
        </is>
      </c>
      <c r="G9" s="6" t="inlineStr">
        <is>
          <t>1999-05-26</t>
        </is>
      </c>
      <c r="H9" s="5" t="inlineStr">
        <is>
          <t>SURA</t>
        </is>
      </c>
      <c r="I9" s="6" t="inlineStr">
        <is>
          <t>3899208671</t>
        </is>
      </c>
      <c r="J9" s="6" t="inlineStr">
        <is>
          <t>3358073933</t>
        </is>
      </c>
      <c r="K9" s="6" t="inlineStr">
        <is>
          <t>07:22:00</t>
        </is>
      </c>
      <c r="L9" s="5" t="inlineStr">
        <is>
          <t>Dolor abdominal agudo</t>
        </is>
      </c>
      <c r="M9" s="7" t="inlineStr">
        <is>
          <t>T3 · AMARILLO</t>
        </is>
      </c>
      <c r="N9" s="6" t="n">
        <v>30</v>
      </c>
      <c r="O9" s="6" t="n">
        <v>67</v>
      </c>
      <c r="P9" s="5" t="inlineStr">
        <is>
          <t>Felipe Herrera</t>
        </is>
      </c>
    </row>
    <row r="10">
      <c r="A10" s="4" t="n">
        <v>18</v>
      </c>
      <c r="B10" s="5" t="inlineStr">
        <is>
          <t>Santiago Muñoz Torres</t>
        </is>
      </c>
      <c r="C10" s="6" t="inlineStr">
        <is>
          <t>26871161</t>
        </is>
      </c>
      <c r="D10" s="6" t="inlineStr">
        <is>
          <t>M</t>
        </is>
      </c>
      <c r="E10" s="6" t="n">
        <v>77</v>
      </c>
      <c r="F10" s="6" t="inlineStr">
        <is>
          <t>Anciano</t>
        </is>
      </c>
      <c r="G10" s="6" t="inlineStr">
        <is>
          <t>1949-05-26</t>
        </is>
      </c>
      <c r="H10" s="5" t="inlineStr">
        <is>
          <t>COMPENSAR</t>
        </is>
      </c>
      <c r="I10" s="6" t="inlineStr">
        <is>
          <t>3883702956</t>
        </is>
      </c>
      <c r="J10" s="6" t="inlineStr">
        <is>
          <t>3531886030</t>
        </is>
      </c>
      <c r="K10" s="6" t="inlineStr">
        <is>
          <t>07:22:00</t>
        </is>
      </c>
      <c r="L10" s="5" t="inlineStr">
        <is>
          <t>Politraumatismo grave</t>
        </is>
      </c>
      <c r="M10" s="9" t="inlineStr">
        <is>
          <t>T1 · ROJO</t>
        </is>
      </c>
      <c r="N10" s="6" t="n">
        <v>90</v>
      </c>
      <c r="O10" s="6" t="n">
        <v>21</v>
      </c>
      <c r="P10" s="5" t="inlineStr">
        <is>
          <t>Andrés Martínez</t>
        </is>
      </c>
    </row>
    <row r="11">
      <c r="A11" s="4" t="n">
        <v>38</v>
      </c>
      <c r="B11" s="5" t="inlineStr">
        <is>
          <t>María Bernal Morales</t>
        </is>
      </c>
      <c r="C11" s="6" t="inlineStr">
        <is>
          <t>87942936</t>
        </is>
      </c>
      <c r="D11" s="6" t="inlineStr">
        <is>
          <t>F</t>
        </is>
      </c>
      <c r="E11" s="6" t="n">
        <v>75</v>
      </c>
      <c r="F11" s="6" t="inlineStr">
        <is>
          <t>Anciano</t>
        </is>
      </c>
      <c r="G11" s="6" t="inlineStr">
        <is>
          <t>1951-05-26</t>
        </is>
      </c>
      <c r="H11" s="5" t="inlineStr">
        <is>
          <t>COMPENSAR</t>
        </is>
      </c>
      <c r="I11" s="6" t="inlineStr">
        <is>
          <t>3215055025</t>
        </is>
      </c>
      <c r="J11" s="6" t="inlineStr">
        <is>
          <t>3484215637</t>
        </is>
      </c>
      <c r="K11" s="6" t="inlineStr">
        <is>
          <t>07:22:00</t>
        </is>
      </c>
      <c r="L11" s="5" t="inlineStr">
        <is>
          <t>Fiebre alta con convulsión</t>
        </is>
      </c>
      <c r="M11" s="8" t="inlineStr">
        <is>
          <t>T4 · VERDE</t>
        </is>
      </c>
      <c r="N11" s="6" t="n">
        <v>25</v>
      </c>
      <c r="O11" s="6" t="n">
        <v>10</v>
      </c>
      <c r="P11" s="5" t="inlineStr">
        <is>
          <t>Carlos Ramírez</t>
        </is>
      </c>
    </row>
    <row r="12">
      <c r="A12" s="4" t="n">
        <v>67</v>
      </c>
      <c r="B12" s="5" t="inlineStr">
        <is>
          <t>Sebastián Rodríguez Ramírez</t>
        </is>
      </c>
      <c r="C12" s="6" t="inlineStr">
        <is>
          <t>19486726</t>
        </is>
      </c>
      <c r="D12" s="6" t="inlineStr">
        <is>
          <t>M</t>
        </is>
      </c>
      <c r="E12" s="6" t="n">
        <v>5</v>
      </c>
      <c r="F12" s="6" t="inlineStr">
        <is>
          <t>Infante</t>
        </is>
      </c>
      <c r="G12" s="6" t="inlineStr">
        <is>
          <t>2021-05-26</t>
        </is>
      </c>
      <c r="H12" s="5" t="inlineStr">
        <is>
          <t>FAMISANAR</t>
        </is>
      </c>
      <c r="I12" s="6" t="inlineStr">
        <is>
          <t>3577285828</t>
        </is>
      </c>
      <c r="J12" s="6" t="inlineStr">
        <is>
          <t>3328467529</t>
        </is>
      </c>
      <c r="K12" s="6" t="inlineStr">
        <is>
          <t>07:22:00</t>
        </is>
      </c>
      <c r="L12" s="5" t="inlineStr">
        <is>
          <t>Dificultad respiratoria severa</t>
        </is>
      </c>
      <c r="M12" s="11" t="inlineStr">
        <is>
          <t>T2 · NARANJA</t>
        </is>
      </c>
      <c r="N12" s="6" t="n">
        <v>45</v>
      </c>
      <c r="O12" s="6" t="n">
        <v>10</v>
      </c>
      <c r="P12" s="5" t="inlineStr">
        <is>
          <t>Carlos Ramírez</t>
        </is>
      </c>
    </row>
    <row r="13">
      <c r="A13" s="4" t="n">
        <v>138</v>
      </c>
      <c r="B13" s="5" t="inlineStr">
        <is>
          <t>Sebastián Ríos Sánchez</t>
        </is>
      </c>
      <c r="C13" s="6" t="inlineStr">
        <is>
          <t>76527819</t>
        </is>
      </c>
      <c r="D13" s="6" t="inlineStr">
        <is>
          <t>M</t>
        </is>
      </c>
      <c r="E13" s="6" t="n">
        <v>63</v>
      </c>
      <c r="F13" s="6" t="inlineStr">
        <is>
          <t>Adulto mayor</t>
        </is>
      </c>
      <c r="G13" s="6" t="inlineStr">
        <is>
          <t>1963-05-26</t>
        </is>
      </c>
      <c r="H13" s="5" t="inlineStr">
        <is>
          <t>SURA</t>
        </is>
      </c>
      <c r="I13" s="6" t="inlineStr">
        <is>
          <t>3597754399</t>
        </is>
      </c>
      <c r="J13" s="6" t="inlineStr">
        <is>
          <t>3214054584</t>
        </is>
      </c>
      <c r="K13" s="6" t="inlineStr">
        <is>
          <t>07:30:00</t>
        </is>
      </c>
      <c r="L13" s="5" t="inlineStr">
        <is>
          <t>Fiebre alta con convulsión</t>
        </is>
      </c>
      <c r="M13" s="8" t="inlineStr">
        <is>
          <t>T4 · VERDE</t>
        </is>
      </c>
      <c r="N13" s="6" t="n">
        <v>25</v>
      </c>
      <c r="O13" s="6" t="n">
        <v>71</v>
      </c>
      <c r="P13" s="5" t="inlineStr">
        <is>
          <t>Laura Gómez</t>
        </is>
      </c>
    </row>
    <row r="14">
      <c r="A14" s="4" t="n">
        <v>34</v>
      </c>
      <c r="B14" s="5" t="inlineStr">
        <is>
          <t>Natalia Rodríguez Muñoz</t>
        </is>
      </c>
      <c r="C14" s="6" t="inlineStr">
        <is>
          <t>98272069</t>
        </is>
      </c>
      <c r="D14" s="6" t="inlineStr">
        <is>
          <t>F</t>
        </is>
      </c>
      <c r="E14" s="6" t="n">
        <v>63</v>
      </c>
      <c r="F14" s="6" t="inlineStr">
        <is>
          <t>Adulto mayor</t>
        </is>
      </c>
      <c r="G14" s="6" t="inlineStr">
        <is>
          <t>1963-05-26</t>
        </is>
      </c>
      <c r="H14" s="5" t="inlineStr">
        <is>
          <t>NUEVA EPS</t>
        </is>
      </c>
      <c r="I14" s="6" t="inlineStr">
        <is>
          <t>3655813059</t>
        </is>
      </c>
      <c r="J14" s="6" t="inlineStr">
        <is>
          <t>3333262174</t>
        </is>
      </c>
      <c r="K14" s="6" t="inlineStr">
        <is>
          <t>07:31:00</t>
        </is>
      </c>
      <c r="L14" s="5" t="inlineStr">
        <is>
          <t>Dolor leve / Malestar general</t>
        </is>
      </c>
      <c r="M14" s="10" t="inlineStr">
        <is>
          <t>T5 · AZUL</t>
        </is>
      </c>
      <c r="N14" s="6" t="n">
        <v>15</v>
      </c>
      <c r="O14" s="6" t="n">
        <v>26</v>
      </c>
      <c r="P14" s="5" t="inlineStr">
        <is>
          <t>Carlos Ramírez</t>
        </is>
      </c>
    </row>
    <row r="15">
      <c r="A15" s="4" t="n">
        <v>87</v>
      </c>
      <c r="B15" s="5" t="inlineStr">
        <is>
          <t>Ricardo Sánchez Herrera</t>
        </is>
      </c>
      <c r="C15" s="6" t="inlineStr">
        <is>
          <t>62671723</t>
        </is>
      </c>
      <c r="D15" s="6" t="inlineStr">
        <is>
          <t>M</t>
        </is>
      </c>
      <c r="E15" s="6" t="n">
        <v>26</v>
      </c>
      <c r="F15" s="6" t="inlineStr">
        <is>
          <t>Adulto</t>
        </is>
      </c>
      <c r="G15" s="6" t="inlineStr">
        <is>
          <t>2000-05-26</t>
        </is>
      </c>
      <c r="H15" s="5" t="inlineStr">
        <is>
          <t>COOMEVA</t>
        </is>
      </c>
      <c r="I15" s="6" t="inlineStr">
        <is>
          <t>3704333646</t>
        </is>
      </c>
      <c r="J15" s="6" t="inlineStr">
        <is>
          <t>3588425709</t>
        </is>
      </c>
      <c r="K15" s="6" t="inlineStr">
        <is>
          <t>07:34:00</t>
        </is>
      </c>
      <c r="L15" s="5" t="inlineStr">
        <is>
          <t>Fiebre alta con convulsión</t>
        </is>
      </c>
      <c r="M15" s="8" t="inlineStr">
        <is>
          <t>T4 · VERDE</t>
        </is>
      </c>
      <c r="N15" s="6" t="n">
        <v>25</v>
      </c>
      <c r="O15" s="6" t="n">
        <v>32</v>
      </c>
      <c r="P15" s="5" t="inlineStr">
        <is>
          <t>Andrés Martínez</t>
        </is>
      </c>
    </row>
    <row r="16">
      <c r="A16" s="4" t="n">
        <v>6</v>
      </c>
      <c r="B16" s="5" t="inlineStr">
        <is>
          <t>Andrés Torres Herrera</t>
        </is>
      </c>
      <c r="C16" s="6" t="inlineStr">
        <is>
          <t>49724933</t>
        </is>
      </c>
      <c r="D16" s="6" t="inlineStr">
        <is>
          <t>M</t>
        </is>
      </c>
      <c r="E16" s="6" t="n">
        <v>20</v>
      </c>
      <c r="F16" s="6" t="inlineStr">
        <is>
          <t>Adulto</t>
        </is>
      </c>
      <c r="G16" s="6" t="inlineStr">
        <is>
          <t>2006-05-26</t>
        </is>
      </c>
      <c r="H16" s="5" t="inlineStr">
        <is>
          <t>COMPENSAR</t>
        </is>
      </c>
      <c r="I16" s="6" t="inlineStr">
        <is>
          <t>3422966512</t>
        </is>
      </c>
      <c r="J16" s="6" t="inlineStr">
        <is>
          <t>3564119755</t>
        </is>
      </c>
      <c r="K16" s="6" t="inlineStr">
        <is>
          <t>07:37:00</t>
        </is>
      </c>
      <c r="L16" s="5" t="inlineStr">
        <is>
          <t>Consulta menor (gripe, tos)</t>
        </is>
      </c>
      <c r="M16" s="10" t="inlineStr">
        <is>
          <t>T5 · AZUL</t>
        </is>
      </c>
      <c r="N16" s="6" t="n">
        <v>10</v>
      </c>
      <c r="O16" s="6" t="n">
        <v>98</v>
      </c>
      <c r="P16" s="5" t="inlineStr">
        <is>
          <t>Sofía Torres</t>
        </is>
      </c>
    </row>
    <row r="17">
      <c r="A17" s="4" t="n">
        <v>86</v>
      </c>
      <c r="B17" s="5" t="inlineStr">
        <is>
          <t>Laura Medina Cruz</t>
        </is>
      </c>
      <c r="C17" s="6" t="inlineStr">
        <is>
          <t>21714743</t>
        </is>
      </c>
      <c r="D17" s="6" t="inlineStr">
        <is>
          <t>F</t>
        </is>
      </c>
      <c r="E17" s="6" t="n">
        <v>57</v>
      </c>
      <c r="F17" s="6" t="inlineStr">
        <is>
          <t>Adulto</t>
        </is>
      </c>
      <c r="G17" s="6" t="inlineStr">
        <is>
          <t>1969-05-26</t>
        </is>
      </c>
      <c r="H17" s="5" t="inlineStr">
        <is>
          <t>MEDIMAS</t>
        </is>
      </c>
      <c r="I17" s="6" t="inlineStr">
        <is>
          <t>3742844808</t>
        </is>
      </c>
      <c r="J17" s="6" t="inlineStr">
        <is>
          <t>3673440135</t>
        </is>
      </c>
      <c r="K17" s="6" t="inlineStr">
        <is>
          <t>07:41:00</t>
        </is>
      </c>
      <c r="L17" s="5" t="inlineStr">
        <is>
          <t>Herida con sangrado moderado</t>
        </is>
      </c>
      <c r="M17" s="8" t="inlineStr">
        <is>
          <t>T4 · VERDE</t>
        </is>
      </c>
      <c r="N17" s="6" t="n">
        <v>20</v>
      </c>
      <c r="O17" s="6" t="n">
        <v>42</v>
      </c>
      <c r="P17" s="5" t="inlineStr">
        <is>
          <t>Carlos Ramírez</t>
        </is>
      </c>
    </row>
    <row r="18">
      <c r="A18" s="4" t="n">
        <v>143</v>
      </c>
      <c r="B18" s="5" t="inlineStr">
        <is>
          <t>Mariana Herrera Moreno</t>
        </is>
      </c>
      <c r="C18" s="6" t="inlineStr">
        <is>
          <t>76776175</t>
        </is>
      </c>
      <c r="D18" s="6" t="inlineStr">
        <is>
          <t>F</t>
        </is>
      </c>
      <c r="E18" s="6" t="n">
        <v>67</v>
      </c>
      <c r="F18" s="6" t="inlineStr">
        <is>
          <t>Adulto mayor</t>
        </is>
      </c>
      <c r="G18" s="6" t="inlineStr">
        <is>
          <t>1959-05-26</t>
        </is>
      </c>
      <c r="H18" s="5" t="inlineStr">
        <is>
          <t>SURA</t>
        </is>
      </c>
      <c r="I18" s="6" t="inlineStr">
        <is>
          <t>3959187418</t>
        </is>
      </c>
      <c r="J18" s="6" t="inlineStr">
        <is>
          <t>3909973958</t>
        </is>
      </c>
      <c r="K18" s="6" t="inlineStr">
        <is>
          <t>07:45:00</t>
        </is>
      </c>
      <c r="L18" s="5" t="inlineStr">
        <is>
          <t>Consulta menor (gripe, tos)</t>
        </is>
      </c>
      <c r="M18" s="10" t="inlineStr">
        <is>
          <t>T5 · AZUL</t>
        </is>
      </c>
      <c r="N18" s="6" t="n">
        <v>10</v>
      </c>
      <c r="O18" s="6" t="n">
        <v>72</v>
      </c>
      <c r="P18" s="5" t="inlineStr">
        <is>
          <t>Sofía Torres</t>
        </is>
      </c>
    </row>
    <row r="19">
      <c r="A19" s="4" t="n">
        <v>58</v>
      </c>
      <c r="B19" s="5" t="inlineStr">
        <is>
          <t>Daniel Alvarado Gómez</t>
        </is>
      </c>
      <c r="C19" s="6" t="inlineStr">
        <is>
          <t>15831014</t>
        </is>
      </c>
      <c r="D19" s="6" t="inlineStr">
        <is>
          <t>M</t>
        </is>
      </c>
      <c r="E19" s="6" t="n">
        <v>73</v>
      </c>
      <c r="F19" s="6" t="inlineStr">
        <is>
          <t>Adulto mayor</t>
        </is>
      </c>
      <c r="G19" s="6" t="inlineStr">
        <is>
          <t>1953-05-26</t>
        </is>
      </c>
      <c r="H19" s="5" t="inlineStr">
        <is>
          <t>NUEVA EPS</t>
        </is>
      </c>
      <c r="I19" s="6" t="inlineStr">
        <is>
          <t>3338738993</t>
        </is>
      </c>
      <c r="J19" s="6" t="inlineStr">
        <is>
          <t>3438990460</t>
        </is>
      </c>
      <c r="K19" s="6" t="inlineStr">
        <is>
          <t>07:56:00</t>
        </is>
      </c>
      <c r="L19" s="5" t="inlineStr">
        <is>
          <t>Dolor leve / Malestar general</t>
        </is>
      </c>
      <c r="M19" s="10" t="inlineStr">
        <is>
          <t>T5 · AZUL</t>
        </is>
      </c>
      <c r="N19" s="6" t="n">
        <v>15</v>
      </c>
      <c r="O19" s="6" t="n">
        <v>27</v>
      </c>
      <c r="P19" s="5" t="inlineStr">
        <is>
          <t>Felipe Herrera</t>
        </is>
      </c>
    </row>
    <row r="20">
      <c r="A20" s="4" t="n">
        <v>26</v>
      </c>
      <c r="B20" s="5" t="inlineStr">
        <is>
          <t>Alejandro Alvarado Rodríguez</t>
        </is>
      </c>
      <c r="C20" s="6" t="inlineStr">
        <is>
          <t>63073746</t>
        </is>
      </c>
      <c r="D20" s="6" t="inlineStr">
        <is>
          <t>M</t>
        </is>
      </c>
      <c r="E20" s="6" t="n">
        <v>60</v>
      </c>
      <c r="F20" s="6" t="inlineStr">
        <is>
          <t>Adulto mayor</t>
        </is>
      </c>
      <c r="G20" s="6" t="inlineStr">
        <is>
          <t>1966-05-26</t>
        </is>
      </c>
      <c r="H20" s="5" t="inlineStr">
        <is>
          <t>SURA</t>
        </is>
      </c>
      <c r="I20" s="6" t="inlineStr">
        <is>
          <t>3901496608</t>
        </is>
      </c>
      <c r="J20" s="6" t="inlineStr">
        <is>
          <t>3148327580</t>
        </is>
      </c>
      <c r="K20" s="6" t="inlineStr">
        <is>
          <t>08:04:00</t>
        </is>
      </c>
      <c r="L20" s="5" t="inlineStr">
        <is>
          <t>Dolor abdominal agudo</t>
        </is>
      </c>
      <c r="M20" s="7" t="inlineStr">
        <is>
          <t>T3 · AMARILLO</t>
        </is>
      </c>
      <c r="N20" s="6" t="n">
        <v>30</v>
      </c>
      <c r="O20" s="6" t="n">
        <v>63</v>
      </c>
      <c r="P20" s="5" t="inlineStr">
        <is>
          <t>Laura Gómez</t>
        </is>
      </c>
    </row>
    <row r="21">
      <c r="A21" s="4" t="n">
        <v>70</v>
      </c>
      <c r="B21" s="5" t="inlineStr">
        <is>
          <t>Jorge Herrera Ríos</t>
        </is>
      </c>
      <c r="C21" s="6" t="inlineStr">
        <is>
          <t>94051646</t>
        </is>
      </c>
      <c r="D21" s="6" t="inlineStr">
        <is>
          <t>M</t>
        </is>
      </c>
      <c r="E21" s="6" t="n">
        <v>49</v>
      </c>
      <c r="F21" s="6" t="inlineStr">
        <is>
          <t>Adulto</t>
        </is>
      </c>
      <c r="G21" s="6" t="inlineStr">
        <is>
          <t>1977-05-26</t>
        </is>
      </c>
      <c r="H21" s="5" t="inlineStr">
        <is>
          <t>SALUD TOTAL</t>
        </is>
      </c>
      <c r="I21" s="6" t="inlineStr">
        <is>
          <t>3128393398</t>
        </is>
      </c>
      <c r="J21" s="6" t="inlineStr">
        <is>
          <t>3968612775</t>
        </is>
      </c>
      <c r="K21" s="6" t="inlineStr">
        <is>
          <t>08:07:00</t>
        </is>
      </c>
      <c r="L21" s="5" t="inlineStr">
        <is>
          <t>Dificultad respiratoria severa</t>
        </is>
      </c>
      <c r="M21" s="11" t="inlineStr">
        <is>
          <t>T2 · NARANJA</t>
        </is>
      </c>
      <c r="N21" s="6" t="n">
        <v>45</v>
      </c>
      <c r="O21" s="6" t="n">
        <v>26</v>
      </c>
      <c r="P21" s="5" t="inlineStr">
        <is>
          <t>Felipe Herrera</t>
        </is>
      </c>
    </row>
    <row r="22">
      <c r="A22" s="4" t="n">
        <v>85</v>
      </c>
      <c r="B22" s="5" t="inlineStr">
        <is>
          <t>Mariana Gómez Bernal</t>
        </is>
      </c>
      <c r="C22" s="6" t="inlineStr">
        <is>
          <t>16081449</t>
        </is>
      </c>
      <c r="D22" s="6" t="inlineStr">
        <is>
          <t>F</t>
        </is>
      </c>
      <c r="E22" s="6" t="n">
        <v>54</v>
      </c>
      <c r="F22" s="6" t="inlineStr">
        <is>
          <t>Adulto</t>
        </is>
      </c>
      <c r="G22" s="6" t="inlineStr">
        <is>
          <t>1972-05-26</t>
        </is>
      </c>
      <c r="H22" s="5" t="inlineStr">
        <is>
          <t>COMPENSAR</t>
        </is>
      </c>
      <c r="I22" s="6" t="inlineStr">
        <is>
          <t>3955517109</t>
        </is>
      </c>
      <c r="J22" s="6" t="inlineStr">
        <is>
          <t>3839042745</t>
        </is>
      </c>
      <c r="K22" s="6" t="inlineStr">
        <is>
          <t>08:13:00</t>
        </is>
      </c>
      <c r="L22" s="5" t="inlineStr">
        <is>
          <t>Consulta menor (gripe, tos)</t>
        </is>
      </c>
      <c r="M22" s="10" t="inlineStr">
        <is>
          <t>T5 · AZUL</t>
        </is>
      </c>
      <c r="N22" s="6" t="n">
        <v>10</v>
      </c>
      <c r="O22" s="6" t="n">
        <v>42</v>
      </c>
      <c r="P22" s="5" t="inlineStr">
        <is>
          <t>Carlos Ramírez</t>
        </is>
      </c>
    </row>
    <row r="23">
      <c r="A23" s="4" t="n">
        <v>13</v>
      </c>
      <c r="B23" s="5" t="inlineStr">
        <is>
          <t>Ricardo Ospina Martínez</t>
        </is>
      </c>
      <c r="C23" s="6" t="inlineStr">
        <is>
          <t>87914865</t>
        </is>
      </c>
      <c r="D23" s="6" t="inlineStr">
        <is>
          <t>M</t>
        </is>
      </c>
      <c r="E23" s="6" t="n">
        <v>1</v>
      </c>
      <c r="F23" s="6" t="inlineStr">
        <is>
          <t>Neonato</t>
        </is>
      </c>
      <c r="G23" s="6" t="inlineStr">
        <is>
          <t>2025-05-26</t>
        </is>
      </c>
      <c r="H23" s="5" t="inlineStr">
        <is>
          <t>CAJACOPI</t>
        </is>
      </c>
      <c r="I23" s="6" t="inlineStr">
        <is>
          <t>3613889924</t>
        </is>
      </c>
      <c r="J23" s="6" t="inlineStr">
        <is>
          <t>3438731315</t>
        </is>
      </c>
      <c r="K23" s="6" t="inlineStr">
        <is>
          <t>08:16:00</t>
        </is>
      </c>
      <c r="L23" s="5" t="inlineStr">
        <is>
          <t>Dolor abdominal agudo</t>
        </is>
      </c>
      <c r="M23" s="7" t="inlineStr">
        <is>
          <t>T3 · AMARILLO</t>
        </is>
      </c>
      <c r="N23" s="6" t="n">
        <v>30</v>
      </c>
      <c r="O23" s="6" t="n">
        <v>24</v>
      </c>
      <c r="P23" s="5" t="inlineStr">
        <is>
          <t>Carlos Ramírez</t>
        </is>
      </c>
    </row>
    <row r="24">
      <c r="A24" s="4" t="n">
        <v>94</v>
      </c>
      <c r="B24" s="5" t="inlineStr">
        <is>
          <t>David Gómez Castro</t>
        </is>
      </c>
      <c r="C24" s="6" t="inlineStr">
        <is>
          <t>62880748</t>
        </is>
      </c>
      <c r="D24" s="6" t="inlineStr">
        <is>
          <t>M</t>
        </is>
      </c>
      <c r="E24" s="6" t="n">
        <v>29</v>
      </c>
      <c r="F24" s="6" t="inlineStr">
        <is>
          <t>Adulto</t>
        </is>
      </c>
      <c r="G24" s="6" t="inlineStr">
        <is>
          <t>1997-05-26</t>
        </is>
      </c>
      <c r="H24" s="5" t="inlineStr">
        <is>
          <t>SURA</t>
        </is>
      </c>
      <c r="I24" s="6" t="inlineStr">
        <is>
          <t>3516692393</t>
        </is>
      </c>
      <c r="J24" s="6" t="inlineStr">
        <is>
          <t>3834274313</t>
        </is>
      </c>
      <c r="K24" s="6" t="inlineStr">
        <is>
          <t>08:17:00</t>
        </is>
      </c>
      <c r="L24" s="5" t="inlineStr">
        <is>
          <t>Fiebre alta con convulsión</t>
        </is>
      </c>
      <c r="M24" s="8" t="inlineStr">
        <is>
          <t>T4 · VERDE</t>
        </is>
      </c>
      <c r="N24" s="6" t="n">
        <v>25</v>
      </c>
      <c r="O24" s="6" t="n">
        <v>74</v>
      </c>
      <c r="P24" s="5" t="inlineStr">
        <is>
          <t>Carlos Ramírez</t>
        </is>
      </c>
    </row>
    <row r="25">
      <c r="A25" s="4" t="n">
        <v>122</v>
      </c>
      <c r="B25" s="5" t="inlineStr">
        <is>
          <t>Mariana Medina Pardo</t>
        </is>
      </c>
      <c r="C25" s="6" t="inlineStr">
        <is>
          <t>66469295</t>
        </is>
      </c>
      <c r="D25" s="6" t="inlineStr">
        <is>
          <t>F</t>
        </is>
      </c>
      <c r="E25" s="6" t="n">
        <v>38</v>
      </c>
      <c r="F25" s="6" t="inlineStr">
        <is>
          <t>Adulto</t>
        </is>
      </c>
      <c r="G25" s="6" t="inlineStr">
        <is>
          <t>1988-05-26</t>
        </is>
      </c>
      <c r="H25" s="5" t="inlineStr">
        <is>
          <t>COMPENSAR</t>
        </is>
      </c>
      <c r="I25" s="6" t="inlineStr">
        <is>
          <t>3629080875</t>
        </is>
      </c>
      <c r="J25" s="6" t="inlineStr">
        <is>
          <t>3186276644</t>
        </is>
      </c>
      <c r="K25" s="6" t="inlineStr">
        <is>
          <t>08:19:00</t>
        </is>
      </c>
      <c r="L25" s="5" t="inlineStr">
        <is>
          <t>Consulta menor (gripe, tos)</t>
        </is>
      </c>
      <c r="M25" s="10" t="inlineStr">
        <is>
          <t>T5 · AZUL</t>
        </is>
      </c>
      <c r="N25" s="6" t="n">
        <v>10</v>
      </c>
      <c r="O25" s="6" t="n">
        <v>50</v>
      </c>
      <c r="P25" s="5" t="inlineStr">
        <is>
          <t>Laura Gómez</t>
        </is>
      </c>
    </row>
    <row r="26">
      <c r="A26" s="4" t="n">
        <v>49</v>
      </c>
      <c r="B26" s="5" t="inlineStr">
        <is>
          <t>Alejandra Jiménez Alvarado</t>
        </is>
      </c>
      <c r="C26" s="6" t="inlineStr">
        <is>
          <t>30083130</t>
        </is>
      </c>
      <c r="D26" s="6" t="inlineStr">
        <is>
          <t>F</t>
        </is>
      </c>
      <c r="E26" s="6" t="n">
        <v>69</v>
      </c>
      <c r="F26" s="6" t="inlineStr">
        <is>
          <t>Adulto mayor</t>
        </is>
      </c>
      <c r="G26" s="6" t="inlineStr">
        <is>
          <t>1957-05-26</t>
        </is>
      </c>
      <c r="H26" s="5" t="inlineStr">
        <is>
          <t>CAJACOPI</t>
        </is>
      </c>
      <c r="I26" s="6" t="inlineStr">
        <is>
          <t>3965428220</t>
        </is>
      </c>
      <c r="J26" s="6" t="inlineStr">
        <is>
          <t>3329597356</t>
        </is>
      </c>
      <c r="K26" s="6" t="inlineStr">
        <is>
          <t>08:24:00</t>
        </is>
      </c>
      <c r="L26" s="5" t="inlineStr">
        <is>
          <t>Herida con sangrado moderado</t>
        </is>
      </c>
      <c r="M26" s="8" t="inlineStr">
        <is>
          <t>T4 · VERDE</t>
        </is>
      </c>
      <c r="N26" s="6" t="n">
        <v>20</v>
      </c>
      <c r="O26" s="6" t="n">
        <v>68</v>
      </c>
      <c r="P26" s="5" t="inlineStr">
        <is>
          <t>Laura Gómez</t>
        </is>
      </c>
    </row>
    <row r="27">
      <c r="A27" s="4" t="n">
        <v>91</v>
      </c>
      <c r="B27" s="5" t="inlineStr">
        <is>
          <t>Paula Torres López</t>
        </is>
      </c>
      <c r="C27" s="6" t="inlineStr">
        <is>
          <t>39917697</t>
        </is>
      </c>
      <c r="D27" s="6" t="inlineStr">
        <is>
          <t>F</t>
        </is>
      </c>
      <c r="E27" s="6" t="n">
        <v>18</v>
      </c>
      <c r="F27" s="6" t="inlineStr">
        <is>
          <t>Adulto</t>
        </is>
      </c>
      <c r="G27" s="6" t="inlineStr">
        <is>
          <t>2008-05-26</t>
        </is>
      </c>
      <c r="H27" s="5" t="inlineStr">
        <is>
          <t>CAJACOPI</t>
        </is>
      </c>
      <c r="I27" s="6" t="inlineStr">
        <is>
          <t>3194576106</t>
        </is>
      </c>
      <c r="J27" s="6" t="inlineStr">
        <is>
          <t>3859231992</t>
        </is>
      </c>
      <c r="K27" s="6" t="inlineStr">
        <is>
          <t>08:32:00</t>
        </is>
      </c>
      <c r="L27" s="5" t="inlineStr">
        <is>
          <t>Herida con sangrado moderado</t>
        </is>
      </c>
      <c r="M27" s="8" t="inlineStr">
        <is>
          <t>T4 · VERDE</t>
        </is>
      </c>
      <c r="N27" s="6" t="n">
        <v>20</v>
      </c>
      <c r="O27" s="6" t="n">
        <v>65</v>
      </c>
      <c r="P27" s="5" t="inlineStr">
        <is>
          <t>Andrés Martínez</t>
        </is>
      </c>
    </row>
    <row r="28">
      <c r="A28" s="4" t="n">
        <v>75</v>
      </c>
      <c r="B28" s="5" t="inlineStr">
        <is>
          <t>Juan López Pardo</t>
        </is>
      </c>
      <c r="C28" s="6" t="inlineStr">
        <is>
          <t>12362678</t>
        </is>
      </c>
      <c r="D28" s="6" t="inlineStr">
        <is>
          <t>M</t>
        </is>
      </c>
      <c r="E28" s="6" t="n">
        <v>79</v>
      </c>
      <c r="F28" s="6" t="inlineStr">
        <is>
          <t>Anciano</t>
        </is>
      </c>
      <c r="G28" s="6" t="inlineStr">
        <is>
          <t>1947-05-26</t>
        </is>
      </c>
      <c r="H28" s="5" t="inlineStr">
        <is>
          <t>SANITAS</t>
        </is>
      </c>
      <c r="I28" s="6" t="inlineStr">
        <is>
          <t>3599608672</t>
        </is>
      </c>
      <c r="J28" s="6" t="inlineStr">
        <is>
          <t>3834048222</t>
        </is>
      </c>
      <c r="K28" s="6" t="inlineStr">
        <is>
          <t>08:36:00</t>
        </is>
      </c>
      <c r="L28" s="5" t="inlineStr">
        <is>
          <t>Consulta menor (gripe, tos)</t>
        </is>
      </c>
      <c r="M28" s="10" t="inlineStr">
        <is>
          <t>T5 · AZUL</t>
        </is>
      </c>
      <c r="N28" s="6" t="n">
        <v>10</v>
      </c>
      <c r="O28" s="6" t="n">
        <v>71</v>
      </c>
      <c r="P28" s="5" t="inlineStr">
        <is>
          <t>Carlos Ramírez</t>
        </is>
      </c>
    </row>
    <row r="29">
      <c r="A29" s="4" t="n">
        <v>62</v>
      </c>
      <c r="B29" s="5" t="inlineStr">
        <is>
          <t>Alejandro García Martínez</t>
        </is>
      </c>
      <c r="C29" s="6" t="inlineStr">
        <is>
          <t>20947362</t>
        </is>
      </c>
      <c r="D29" s="6" t="inlineStr">
        <is>
          <t>M</t>
        </is>
      </c>
      <c r="E29" s="6" t="n">
        <v>68</v>
      </c>
      <c r="F29" s="6" t="inlineStr">
        <is>
          <t>Adulto mayor</t>
        </is>
      </c>
      <c r="G29" s="6" t="inlineStr">
        <is>
          <t>1958-05-26</t>
        </is>
      </c>
      <c r="H29" s="5" t="inlineStr">
        <is>
          <t>NUEVA EPS</t>
        </is>
      </c>
      <c r="I29" s="6" t="inlineStr">
        <is>
          <t>3265214081</t>
        </is>
      </c>
      <c r="J29" s="6" t="inlineStr">
        <is>
          <t>3817653926</t>
        </is>
      </c>
      <c r="K29" s="6" t="inlineStr">
        <is>
          <t>08:39:00</t>
        </is>
      </c>
      <c r="L29" s="5" t="inlineStr">
        <is>
          <t>Dolor leve / Malestar general</t>
        </is>
      </c>
      <c r="M29" s="10" t="inlineStr">
        <is>
          <t>T5 · AZUL</t>
        </is>
      </c>
      <c r="N29" s="6" t="n">
        <v>15</v>
      </c>
      <c r="O29" s="6" t="n">
        <v>109</v>
      </c>
      <c r="P29" s="5" t="inlineStr">
        <is>
          <t>Laura Gómez</t>
        </is>
      </c>
    </row>
    <row r="30">
      <c r="A30" s="4" t="n">
        <v>107</v>
      </c>
      <c r="B30" s="5" t="inlineStr">
        <is>
          <t>Laura Pardo Gómez</t>
        </is>
      </c>
      <c r="C30" s="6" t="inlineStr">
        <is>
          <t>20025215</t>
        </is>
      </c>
      <c r="D30" s="6" t="inlineStr">
        <is>
          <t>F</t>
        </is>
      </c>
      <c r="E30" s="6" t="n">
        <v>2</v>
      </c>
      <c r="F30" s="6" t="inlineStr">
        <is>
          <t>Infante</t>
        </is>
      </c>
      <c r="G30" s="6" t="inlineStr">
        <is>
          <t>2024-05-26</t>
        </is>
      </c>
      <c r="H30" s="5" t="inlineStr">
        <is>
          <t>COOMEVA</t>
        </is>
      </c>
      <c r="I30" s="6" t="inlineStr">
        <is>
          <t>3949579589</t>
        </is>
      </c>
      <c r="J30" s="6" t="inlineStr">
        <is>
          <t>3453026686</t>
        </is>
      </c>
      <c r="K30" s="6" t="inlineStr">
        <is>
          <t>08:42:00</t>
        </is>
      </c>
      <c r="L30" s="5" t="inlineStr">
        <is>
          <t>Herida con sangrado moderado</t>
        </is>
      </c>
      <c r="M30" s="8" t="inlineStr">
        <is>
          <t>T4 · VERDE</t>
        </is>
      </c>
      <c r="N30" s="6" t="n">
        <v>20</v>
      </c>
      <c r="O30" s="6" t="n">
        <v>27</v>
      </c>
      <c r="P30" s="5" t="inlineStr">
        <is>
          <t>Laura Gómez</t>
        </is>
      </c>
    </row>
    <row r="31">
      <c r="A31" s="4" t="n">
        <v>35</v>
      </c>
      <c r="B31" s="5" t="inlineStr">
        <is>
          <t>Valentina Alvarado Rodríguez</t>
        </is>
      </c>
      <c r="C31" s="6" t="inlineStr">
        <is>
          <t>24050363</t>
        </is>
      </c>
      <c r="D31" s="6" t="inlineStr">
        <is>
          <t>F</t>
        </is>
      </c>
      <c r="E31" s="6" t="n">
        <v>36</v>
      </c>
      <c r="F31" s="6" t="inlineStr">
        <is>
          <t>Adulto</t>
        </is>
      </c>
      <c r="G31" s="6" t="inlineStr">
        <is>
          <t>1990-05-26</t>
        </is>
      </c>
      <c r="H31" s="5" t="inlineStr">
        <is>
          <t>SALUD TOTAL</t>
        </is>
      </c>
      <c r="I31" s="6" t="inlineStr">
        <is>
          <t>3485197506</t>
        </is>
      </c>
      <c r="J31" s="6" t="inlineStr">
        <is>
          <t>3305599081</t>
        </is>
      </c>
      <c r="K31" s="6" t="inlineStr">
        <is>
          <t>08:47:00</t>
        </is>
      </c>
      <c r="L31" s="5" t="inlineStr">
        <is>
          <t>Fractura con compromiso vascular</t>
        </is>
      </c>
      <c r="M31" s="7" t="inlineStr">
        <is>
          <t>T3 · AMARILLO</t>
        </is>
      </c>
      <c r="N31" s="6" t="n">
        <v>35</v>
      </c>
      <c r="O31" s="6" t="n">
        <v>9</v>
      </c>
      <c r="P31" s="5" t="inlineStr">
        <is>
          <t>Andrés Martínez</t>
        </is>
      </c>
    </row>
    <row r="32">
      <c r="A32" s="4" t="n">
        <v>76</v>
      </c>
      <c r="B32" s="5" t="inlineStr">
        <is>
          <t>Natalia Herrera Ramírez</t>
        </is>
      </c>
      <c r="C32" s="6" t="inlineStr">
        <is>
          <t>78693917</t>
        </is>
      </c>
      <c r="D32" s="6" t="inlineStr">
        <is>
          <t>F</t>
        </is>
      </c>
      <c r="E32" s="6" t="n">
        <v>7</v>
      </c>
      <c r="F32" s="6" t="inlineStr">
        <is>
          <t>Menor de edad</t>
        </is>
      </c>
      <c r="G32" s="6" t="inlineStr">
        <is>
          <t>2019-05-26</t>
        </is>
      </c>
      <c r="H32" s="5" t="inlineStr">
        <is>
          <t>SALUD TOTAL</t>
        </is>
      </c>
      <c r="I32" s="6" t="inlineStr">
        <is>
          <t>3721049445</t>
        </is>
      </c>
      <c r="J32" s="6" t="inlineStr">
        <is>
          <t>3882406518</t>
        </is>
      </c>
      <c r="K32" s="6" t="inlineStr">
        <is>
          <t>08:51:00</t>
        </is>
      </c>
      <c r="L32" s="5" t="inlineStr">
        <is>
          <t>Dolor abdominal agudo</t>
        </is>
      </c>
      <c r="M32" s="7" t="inlineStr">
        <is>
          <t>T3 · AMARILLO</t>
        </is>
      </c>
      <c r="N32" s="6" t="n">
        <v>30</v>
      </c>
      <c r="O32" s="6" t="n">
        <v>99</v>
      </c>
      <c r="P32" s="5" t="inlineStr">
        <is>
          <t>Felipe Herrera</t>
        </is>
      </c>
    </row>
    <row r="33">
      <c r="A33" s="4" t="n">
        <v>59</v>
      </c>
      <c r="B33" s="5" t="inlineStr">
        <is>
          <t>Claudia Jiménez Jiménez</t>
        </is>
      </c>
      <c r="C33" s="6" t="inlineStr">
        <is>
          <t>55318643</t>
        </is>
      </c>
      <c r="D33" s="6" t="inlineStr">
        <is>
          <t>F</t>
        </is>
      </c>
      <c r="E33" s="6" t="n">
        <v>28</v>
      </c>
      <c r="F33" s="6" t="inlineStr">
        <is>
          <t>Adulto</t>
        </is>
      </c>
      <c r="G33" s="6" t="inlineStr">
        <is>
          <t>1998-05-26</t>
        </is>
      </c>
      <c r="H33" s="5" t="inlineStr">
        <is>
          <t>CAJACOPI</t>
        </is>
      </c>
      <c r="I33" s="6" t="inlineStr">
        <is>
          <t>3467187335</t>
        </is>
      </c>
      <c r="J33" s="6" t="inlineStr">
        <is>
          <t>3534123683</t>
        </is>
      </c>
      <c r="K33" s="6" t="inlineStr">
        <is>
          <t>08:55:00</t>
        </is>
      </c>
      <c r="L33" s="5" t="inlineStr">
        <is>
          <t>Dificultad respiratoria severa</t>
        </is>
      </c>
      <c r="M33" s="11" t="inlineStr">
        <is>
          <t>T2 · NARANJA</t>
        </is>
      </c>
      <c r="N33" s="6" t="n">
        <v>45</v>
      </c>
      <c r="O33" s="6" t="n">
        <v>105</v>
      </c>
      <c r="P33" s="5" t="inlineStr">
        <is>
          <t>Laura Gómez</t>
        </is>
      </c>
    </row>
    <row r="34">
      <c r="A34" s="4" t="n">
        <v>69</v>
      </c>
      <c r="B34" s="5" t="inlineStr">
        <is>
          <t>Carlos Sánchez Díaz</t>
        </is>
      </c>
      <c r="C34" s="6" t="inlineStr">
        <is>
          <t>52437967</t>
        </is>
      </c>
      <c r="D34" s="6" t="inlineStr">
        <is>
          <t>M</t>
        </is>
      </c>
      <c r="E34" s="6" t="n">
        <v>72</v>
      </c>
      <c r="F34" s="6" t="inlineStr">
        <is>
          <t>Adulto mayor</t>
        </is>
      </c>
      <c r="G34" s="6" t="inlineStr">
        <is>
          <t>1954-05-26</t>
        </is>
      </c>
      <c r="H34" s="5" t="inlineStr">
        <is>
          <t>SURA</t>
        </is>
      </c>
      <c r="I34" s="6" t="inlineStr">
        <is>
          <t>3143742033</t>
        </is>
      </c>
      <c r="J34" s="6" t="inlineStr">
        <is>
          <t>3712999560</t>
        </is>
      </c>
      <c r="K34" s="6" t="inlineStr">
        <is>
          <t>08:59:00</t>
        </is>
      </c>
      <c r="L34" s="5" t="inlineStr">
        <is>
          <t>ACV / Derrame cerebral</t>
        </is>
      </c>
      <c r="M34" s="11" t="inlineStr">
        <is>
          <t>T2 · NARANJA</t>
        </is>
      </c>
      <c r="N34" s="6" t="n">
        <v>50</v>
      </c>
      <c r="O34" s="6" t="n">
        <v>95</v>
      </c>
      <c r="P34" s="5" t="inlineStr">
        <is>
          <t>Laura Gómez</t>
        </is>
      </c>
    </row>
    <row r="35">
      <c r="A35" s="4" t="n">
        <v>37</v>
      </c>
      <c r="B35" s="5" t="inlineStr">
        <is>
          <t>Luis Ospina Herrera</t>
        </is>
      </c>
      <c r="C35" s="6" t="inlineStr">
        <is>
          <t>35544973</t>
        </is>
      </c>
      <c r="D35" s="6" t="inlineStr">
        <is>
          <t>M</t>
        </is>
      </c>
      <c r="E35" s="6" t="n">
        <v>38</v>
      </c>
      <c r="F35" s="6" t="inlineStr">
        <is>
          <t>Adulto</t>
        </is>
      </c>
      <c r="G35" s="6" t="inlineStr">
        <is>
          <t>1988-05-26</t>
        </is>
      </c>
      <c r="H35" s="5" t="inlineStr">
        <is>
          <t>SURA</t>
        </is>
      </c>
      <c r="I35" s="6" t="inlineStr">
        <is>
          <t>3398298477</t>
        </is>
      </c>
      <c r="J35" s="6" t="inlineStr">
        <is>
          <t>3281005629</t>
        </is>
      </c>
      <c r="K35" s="6" t="inlineStr">
        <is>
          <t>09:08:00</t>
        </is>
      </c>
      <c r="L35" s="5" t="inlineStr">
        <is>
          <t>Dolor abdominal agudo</t>
        </is>
      </c>
      <c r="M35" s="7" t="inlineStr">
        <is>
          <t>T3 · AMARILLO</t>
        </is>
      </c>
      <c r="N35" s="6" t="n">
        <v>30</v>
      </c>
      <c r="O35" s="6" t="n">
        <v>77</v>
      </c>
      <c r="P35" s="5" t="inlineStr">
        <is>
          <t>Felipe Herrera</t>
        </is>
      </c>
    </row>
    <row r="36">
      <c r="A36" s="4" t="n">
        <v>117</v>
      </c>
      <c r="B36" s="5" t="inlineStr">
        <is>
          <t>Luis Medina Sánchez</t>
        </is>
      </c>
      <c r="C36" s="6" t="inlineStr">
        <is>
          <t>72384741</t>
        </is>
      </c>
      <c r="D36" s="6" t="inlineStr">
        <is>
          <t>M</t>
        </is>
      </c>
      <c r="E36" s="6" t="n">
        <v>16</v>
      </c>
      <c r="F36" s="6" t="inlineStr">
        <is>
          <t>Menor de edad</t>
        </is>
      </c>
      <c r="G36" s="6" t="inlineStr">
        <is>
          <t>2010-05-26</t>
        </is>
      </c>
      <c r="H36" s="5" t="inlineStr">
        <is>
          <t>COMPENSAR</t>
        </is>
      </c>
      <c r="I36" s="6" t="inlineStr">
        <is>
          <t>3827241038</t>
        </is>
      </c>
      <c r="J36" s="6" t="inlineStr">
        <is>
          <t>3558630465</t>
        </is>
      </c>
      <c r="K36" s="6" t="inlineStr">
        <is>
          <t>09:17:00</t>
        </is>
      </c>
      <c r="L36" s="5" t="inlineStr">
        <is>
          <t>Dolor leve / Malestar general</t>
        </is>
      </c>
      <c r="M36" s="10" t="inlineStr">
        <is>
          <t>T5 · AZUL</t>
        </is>
      </c>
      <c r="N36" s="6" t="n">
        <v>15</v>
      </c>
      <c r="O36" s="6" t="n">
        <v>108</v>
      </c>
      <c r="P36" s="5" t="inlineStr">
        <is>
          <t>Sofía Torres</t>
        </is>
      </c>
    </row>
    <row r="37">
      <c r="A37" s="4" t="n">
        <v>55</v>
      </c>
      <c r="B37" s="5" t="inlineStr">
        <is>
          <t>Daniela Pardo Bernal</t>
        </is>
      </c>
      <c r="C37" s="6" t="inlineStr">
        <is>
          <t>32633648</t>
        </is>
      </c>
      <c r="D37" s="6" t="inlineStr">
        <is>
          <t>F</t>
        </is>
      </c>
      <c r="E37" s="6" t="n">
        <v>65</v>
      </c>
      <c r="F37" s="6" t="inlineStr">
        <is>
          <t>Adulto mayor</t>
        </is>
      </c>
      <c r="G37" s="6" t="inlineStr">
        <is>
          <t>1961-05-26</t>
        </is>
      </c>
      <c r="H37" s="5" t="inlineStr">
        <is>
          <t>MEDIMAS</t>
        </is>
      </c>
      <c r="I37" s="6" t="inlineStr">
        <is>
          <t>3338627557</t>
        </is>
      </c>
      <c r="J37" s="6" t="inlineStr">
        <is>
          <t>3979702053</t>
        </is>
      </c>
      <c r="K37" s="6" t="inlineStr">
        <is>
          <t>09:25:00</t>
        </is>
      </c>
      <c r="L37" s="5" t="inlineStr">
        <is>
          <t>Fractura con compromiso vascular</t>
        </is>
      </c>
      <c r="M37" s="7" t="inlineStr">
        <is>
          <t>T3 · AMARILLO</t>
        </is>
      </c>
      <c r="N37" s="6" t="n">
        <v>35</v>
      </c>
      <c r="O37" s="6" t="n">
        <v>61</v>
      </c>
      <c r="P37" s="5" t="inlineStr">
        <is>
          <t>Sofía Torres</t>
        </is>
      </c>
    </row>
    <row r="38">
      <c r="A38" s="4" t="n">
        <v>145</v>
      </c>
      <c r="B38" s="5" t="inlineStr">
        <is>
          <t>Camilo Ramírez Ramírez</t>
        </is>
      </c>
      <c r="C38" s="6" t="inlineStr">
        <is>
          <t>23918943</t>
        </is>
      </c>
      <c r="D38" s="6" t="inlineStr">
        <is>
          <t>M</t>
        </is>
      </c>
      <c r="E38" s="6" t="n">
        <v>52</v>
      </c>
      <c r="F38" s="6" t="inlineStr">
        <is>
          <t>Adulto</t>
        </is>
      </c>
      <c r="G38" s="6" t="inlineStr">
        <is>
          <t>1974-05-26</t>
        </is>
      </c>
      <c r="H38" s="5" t="inlineStr">
        <is>
          <t>SURA</t>
        </is>
      </c>
      <c r="I38" s="6" t="inlineStr">
        <is>
          <t>3188465826</t>
        </is>
      </c>
      <c r="J38" s="6" t="inlineStr">
        <is>
          <t>3865711962</t>
        </is>
      </c>
      <c r="K38" s="6" t="inlineStr">
        <is>
          <t>09:35:00</t>
        </is>
      </c>
      <c r="L38" s="5" t="inlineStr">
        <is>
          <t>Fiebre alta con convulsión</t>
        </is>
      </c>
      <c r="M38" s="8" t="inlineStr">
        <is>
          <t>T4 · VERDE</t>
        </is>
      </c>
      <c r="N38" s="6" t="n">
        <v>25</v>
      </c>
      <c r="O38" s="6" t="n">
        <v>8</v>
      </c>
      <c r="P38" s="5" t="inlineStr">
        <is>
          <t>Carlos Ramírez</t>
        </is>
      </c>
    </row>
    <row r="39">
      <c r="A39" s="4" t="n">
        <v>108</v>
      </c>
      <c r="B39" s="5" t="inlineStr">
        <is>
          <t>María Ramírez Gómez</t>
        </is>
      </c>
      <c r="C39" s="6" t="inlineStr">
        <is>
          <t>55075991</t>
        </is>
      </c>
      <c r="D39" s="6" t="inlineStr">
        <is>
          <t>F</t>
        </is>
      </c>
      <c r="E39" s="6" t="n">
        <v>88</v>
      </c>
      <c r="F39" s="6" t="inlineStr">
        <is>
          <t>Anciano</t>
        </is>
      </c>
      <c r="G39" s="6" t="inlineStr">
        <is>
          <t>1938-05-26</t>
        </is>
      </c>
      <c r="H39" s="5" t="inlineStr">
        <is>
          <t>ALIANSALUD</t>
        </is>
      </c>
      <c r="I39" s="6" t="inlineStr">
        <is>
          <t>3964043533</t>
        </is>
      </c>
      <c r="J39" s="6" t="inlineStr">
        <is>
          <t>3682629291</t>
        </is>
      </c>
      <c r="K39" s="6" t="inlineStr">
        <is>
          <t>09:42:00</t>
        </is>
      </c>
      <c r="L39" s="5" t="inlineStr">
        <is>
          <t>Fiebre alta con convulsión</t>
        </is>
      </c>
      <c r="M39" s="8" t="inlineStr">
        <is>
          <t>T4 · VERDE</t>
        </is>
      </c>
      <c r="N39" s="6" t="n">
        <v>25</v>
      </c>
      <c r="O39" s="6" t="n">
        <v>57</v>
      </c>
      <c r="P39" s="5" t="inlineStr">
        <is>
          <t>Sofía Torres</t>
        </is>
      </c>
    </row>
    <row r="40">
      <c r="A40" s="4" t="n">
        <v>114</v>
      </c>
      <c r="B40" s="5" t="inlineStr">
        <is>
          <t>Juan Sánchez Ospina</t>
        </is>
      </c>
      <c r="C40" s="6" t="inlineStr">
        <is>
          <t>37956168</t>
        </is>
      </c>
      <c r="D40" s="6" t="inlineStr">
        <is>
          <t>M</t>
        </is>
      </c>
      <c r="E40" s="6" t="n">
        <v>70</v>
      </c>
      <c r="F40" s="6" t="inlineStr">
        <is>
          <t>Adulto mayor</t>
        </is>
      </c>
      <c r="G40" s="6" t="inlineStr">
        <is>
          <t>1956-05-26</t>
        </is>
      </c>
      <c r="H40" s="5" t="inlineStr">
        <is>
          <t>COMPENSAR</t>
        </is>
      </c>
      <c r="I40" s="6" t="inlineStr">
        <is>
          <t>3427847189</t>
        </is>
      </c>
      <c r="J40" s="6" t="inlineStr">
        <is>
          <t>3348659066</t>
        </is>
      </c>
      <c r="K40" s="6" t="inlineStr">
        <is>
          <t>09:47:00</t>
        </is>
      </c>
      <c r="L40" s="5" t="inlineStr">
        <is>
          <t>Dolor abdominal agudo</t>
        </is>
      </c>
      <c r="M40" s="7" t="inlineStr">
        <is>
          <t>T3 · AMARILLO</t>
        </is>
      </c>
      <c r="N40" s="6" t="n">
        <v>30</v>
      </c>
      <c r="O40" s="6" t="n">
        <v>1</v>
      </c>
      <c r="P40" s="5" t="inlineStr">
        <is>
          <t>Andrés Martínez</t>
        </is>
      </c>
    </row>
    <row r="41">
      <c r="A41" s="4" t="n">
        <v>21</v>
      </c>
      <c r="B41" s="5" t="inlineStr">
        <is>
          <t>Sofía García Rodríguez</t>
        </is>
      </c>
      <c r="C41" s="6" t="inlineStr">
        <is>
          <t>19704040</t>
        </is>
      </c>
      <c r="D41" s="6" t="inlineStr">
        <is>
          <t>F</t>
        </is>
      </c>
      <c r="E41" s="6" t="n">
        <v>1</v>
      </c>
      <c r="F41" s="6" t="inlineStr">
        <is>
          <t>Neonato</t>
        </is>
      </c>
      <c r="G41" s="6" t="inlineStr">
        <is>
          <t>2025-05-26</t>
        </is>
      </c>
      <c r="H41" s="5" t="inlineStr">
        <is>
          <t>NUEVA EPS</t>
        </is>
      </c>
      <c r="I41" s="6" t="inlineStr">
        <is>
          <t>3585541160</t>
        </is>
      </c>
      <c r="J41" s="6" t="inlineStr">
        <is>
          <t>3884802306</t>
        </is>
      </c>
      <c r="K41" s="6" t="inlineStr">
        <is>
          <t>09:54:00</t>
        </is>
      </c>
      <c r="L41" s="5" t="inlineStr">
        <is>
          <t>Dolor abdominal agudo</t>
        </is>
      </c>
      <c r="M41" s="7" t="inlineStr">
        <is>
          <t>T3 · AMARILLO</t>
        </is>
      </c>
      <c r="N41" s="6" t="n">
        <v>30</v>
      </c>
      <c r="O41" s="6" t="n">
        <v>84</v>
      </c>
      <c r="P41" s="5" t="inlineStr">
        <is>
          <t>Andrés Martínez</t>
        </is>
      </c>
    </row>
    <row r="42">
      <c r="A42" s="4" t="n">
        <v>127</v>
      </c>
      <c r="B42" s="5" t="inlineStr">
        <is>
          <t>Ricardo Sánchez Gómez</t>
        </is>
      </c>
      <c r="C42" s="6" t="inlineStr">
        <is>
          <t>80651625</t>
        </is>
      </c>
      <c r="D42" s="6" t="inlineStr">
        <is>
          <t>M</t>
        </is>
      </c>
      <c r="E42" s="6" t="n">
        <v>88</v>
      </c>
      <c r="F42" s="6" t="inlineStr">
        <is>
          <t>Anciano</t>
        </is>
      </c>
      <c r="G42" s="6" t="inlineStr">
        <is>
          <t>1938-05-26</t>
        </is>
      </c>
      <c r="H42" s="5" t="inlineStr">
        <is>
          <t>NUEVA EPS</t>
        </is>
      </c>
      <c r="I42" s="6" t="inlineStr">
        <is>
          <t>3782939728</t>
        </is>
      </c>
      <c r="J42" s="6" t="inlineStr">
        <is>
          <t>3537496390</t>
        </is>
      </c>
      <c r="K42" s="6" t="inlineStr">
        <is>
          <t>09:56:00</t>
        </is>
      </c>
      <c r="L42" s="5" t="inlineStr">
        <is>
          <t>Paro cardiorrespiratorio</t>
        </is>
      </c>
      <c r="M42" s="9" t="inlineStr">
        <is>
          <t>T1 · ROJO</t>
        </is>
      </c>
      <c r="N42" s="6" t="n">
        <v>60</v>
      </c>
      <c r="O42" s="6" t="n">
        <v>11</v>
      </c>
      <c r="P42" s="5" t="inlineStr">
        <is>
          <t>Sofía Torres</t>
        </is>
      </c>
    </row>
    <row r="43">
      <c r="A43" s="4" t="n">
        <v>66</v>
      </c>
      <c r="B43" s="5" t="inlineStr">
        <is>
          <t>Juliana Medina López</t>
        </is>
      </c>
      <c r="C43" s="6" t="inlineStr">
        <is>
          <t>40429583</t>
        </is>
      </c>
      <c r="D43" s="6" t="inlineStr">
        <is>
          <t>F</t>
        </is>
      </c>
      <c r="E43" s="6" t="n">
        <v>82</v>
      </c>
      <c r="F43" s="6" t="inlineStr">
        <is>
          <t>Anciano</t>
        </is>
      </c>
      <c r="G43" s="6" t="inlineStr">
        <is>
          <t>1944-05-26</t>
        </is>
      </c>
      <c r="H43" s="5" t="inlineStr">
        <is>
          <t>SURA</t>
        </is>
      </c>
      <c r="I43" s="6" t="inlineStr">
        <is>
          <t>3801639113</t>
        </is>
      </c>
      <c r="J43" s="6" t="inlineStr">
        <is>
          <t>3321525284</t>
        </is>
      </c>
      <c r="K43" s="6" t="inlineStr">
        <is>
          <t>10:04:00</t>
        </is>
      </c>
      <c r="L43" s="5" t="inlineStr">
        <is>
          <t>Herida con sangrado moderado</t>
        </is>
      </c>
      <c r="M43" s="8" t="inlineStr">
        <is>
          <t>T4 · VERDE</t>
        </is>
      </c>
      <c r="N43" s="6" t="n">
        <v>20</v>
      </c>
      <c r="O43" s="6" t="n">
        <v>59</v>
      </c>
      <c r="P43" s="5" t="inlineStr">
        <is>
          <t>Laura Gómez</t>
        </is>
      </c>
    </row>
    <row r="44">
      <c r="A44" s="4" t="n">
        <v>20</v>
      </c>
      <c r="B44" s="5" t="inlineStr">
        <is>
          <t>Nicolás Ríos Cárdenas</t>
        </is>
      </c>
      <c r="C44" s="6" t="inlineStr">
        <is>
          <t>69582882</t>
        </is>
      </c>
      <c r="D44" s="6" t="inlineStr">
        <is>
          <t>M</t>
        </is>
      </c>
      <c r="E44" s="6" t="n">
        <v>43</v>
      </c>
      <c r="F44" s="6" t="inlineStr">
        <is>
          <t>Adulto</t>
        </is>
      </c>
      <c r="G44" s="6" t="inlineStr">
        <is>
          <t>1983-05-26</t>
        </is>
      </c>
      <c r="H44" s="5" t="inlineStr">
        <is>
          <t>SANITAS</t>
        </is>
      </c>
      <c r="I44" s="6" t="inlineStr">
        <is>
          <t>3115792314</t>
        </is>
      </c>
      <c r="J44" s="6" t="inlineStr">
        <is>
          <t>3815961558</t>
        </is>
      </c>
      <c r="K44" s="6" t="inlineStr">
        <is>
          <t>10:05:00</t>
        </is>
      </c>
      <c r="L44" s="5" t="inlineStr">
        <is>
          <t>Fiebre alta con convulsión</t>
        </is>
      </c>
      <c r="M44" s="8" t="inlineStr">
        <is>
          <t>T4 · VERDE</t>
        </is>
      </c>
      <c r="N44" s="6" t="n">
        <v>25</v>
      </c>
      <c r="O44" s="6" t="n">
        <v>38</v>
      </c>
      <c r="P44" s="5" t="inlineStr">
        <is>
          <t>Laura Gómez</t>
        </is>
      </c>
    </row>
    <row r="45">
      <c r="A45" s="4" t="n">
        <v>24</v>
      </c>
      <c r="B45" s="5" t="inlineStr">
        <is>
          <t>Fernanda López Martínez</t>
        </is>
      </c>
      <c r="C45" s="6" t="inlineStr">
        <is>
          <t>32231316</t>
        </is>
      </c>
      <c r="D45" s="6" t="inlineStr">
        <is>
          <t>F</t>
        </is>
      </c>
      <c r="E45" s="6" t="n">
        <v>63</v>
      </c>
      <c r="F45" s="6" t="inlineStr">
        <is>
          <t>Adulto mayor</t>
        </is>
      </c>
      <c r="G45" s="6" t="inlineStr">
        <is>
          <t>1963-05-26</t>
        </is>
      </c>
      <c r="H45" s="5" t="inlineStr">
        <is>
          <t>SANITAS</t>
        </is>
      </c>
      <c r="I45" s="6" t="inlineStr">
        <is>
          <t>3399130911</t>
        </is>
      </c>
      <c r="J45" s="6" t="inlineStr">
        <is>
          <t>3362685387</t>
        </is>
      </c>
      <c r="K45" s="6" t="inlineStr">
        <is>
          <t>10:16:00</t>
        </is>
      </c>
      <c r="L45" s="5" t="inlineStr">
        <is>
          <t>Fractura con compromiso vascular</t>
        </is>
      </c>
      <c r="M45" s="7" t="inlineStr">
        <is>
          <t>T3 · AMARILLO</t>
        </is>
      </c>
      <c r="N45" s="6" t="n">
        <v>35</v>
      </c>
      <c r="O45" s="6" t="n">
        <v>47</v>
      </c>
      <c r="P45" s="5" t="inlineStr">
        <is>
          <t>Felipe Herrera</t>
        </is>
      </c>
    </row>
    <row r="46">
      <c r="A46" s="4" t="n">
        <v>125</v>
      </c>
      <c r="B46" s="5" t="inlineStr">
        <is>
          <t>Camilo Herrera Alvarado</t>
        </is>
      </c>
      <c r="C46" s="6" t="inlineStr">
        <is>
          <t>98865436</t>
        </is>
      </c>
      <c r="D46" s="6" t="inlineStr">
        <is>
          <t>M</t>
        </is>
      </c>
      <c r="E46" s="6" t="n">
        <v>2</v>
      </c>
      <c r="F46" s="6" t="inlineStr">
        <is>
          <t>Infante</t>
        </is>
      </c>
      <c r="G46" s="6" t="inlineStr">
        <is>
          <t>2024-05-26</t>
        </is>
      </c>
      <c r="H46" s="5" t="inlineStr">
        <is>
          <t>SALUD TOTAL</t>
        </is>
      </c>
      <c r="I46" s="6" t="inlineStr">
        <is>
          <t>3335715824</t>
        </is>
      </c>
      <c r="J46" s="6" t="inlineStr">
        <is>
          <t>3922566407</t>
        </is>
      </c>
      <c r="K46" s="6" t="inlineStr">
        <is>
          <t>10:20:00</t>
        </is>
      </c>
      <c r="L46" s="5" t="inlineStr">
        <is>
          <t>Dificultad respiratoria severa</t>
        </is>
      </c>
      <c r="M46" s="11" t="inlineStr">
        <is>
          <t>T2 · NARANJA</t>
        </is>
      </c>
      <c r="N46" s="6" t="n">
        <v>45</v>
      </c>
      <c r="O46" s="6" t="n">
        <v>61</v>
      </c>
      <c r="P46" s="5" t="inlineStr">
        <is>
          <t>Carlos Ramírez</t>
        </is>
      </c>
    </row>
    <row r="47">
      <c r="A47" s="4" t="n">
        <v>111</v>
      </c>
      <c r="B47" s="5" t="inlineStr">
        <is>
          <t>Sofía Torres Herrera</t>
        </is>
      </c>
      <c r="C47" s="6" t="inlineStr">
        <is>
          <t>98163037</t>
        </is>
      </c>
      <c r="D47" s="6" t="inlineStr">
        <is>
          <t>F</t>
        </is>
      </c>
      <c r="E47" s="6" t="n">
        <v>43</v>
      </c>
      <c r="F47" s="6" t="inlineStr">
        <is>
          <t>Adulto</t>
        </is>
      </c>
      <c r="G47" s="6" t="inlineStr">
        <is>
          <t>1983-05-26</t>
        </is>
      </c>
      <c r="H47" s="5" t="inlineStr">
        <is>
          <t>MEDIMAS</t>
        </is>
      </c>
      <c r="I47" s="6" t="inlineStr">
        <is>
          <t>3741235094</t>
        </is>
      </c>
      <c r="J47" s="6" t="inlineStr">
        <is>
          <t>3263591644</t>
        </is>
      </c>
      <c r="K47" s="6" t="inlineStr">
        <is>
          <t>10:25:00</t>
        </is>
      </c>
      <c r="L47" s="5" t="inlineStr">
        <is>
          <t>Fiebre alta con convulsión</t>
        </is>
      </c>
      <c r="M47" s="8" t="inlineStr">
        <is>
          <t>T4 · VERDE</t>
        </is>
      </c>
      <c r="N47" s="6" t="n">
        <v>25</v>
      </c>
      <c r="O47" s="6" t="n">
        <v>117</v>
      </c>
      <c r="P47" s="5" t="inlineStr">
        <is>
          <t>Andrés Martínez</t>
        </is>
      </c>
    </row>
    <row r="48">
      <c r="A48" s="4" t="n">
        <v>44</v>
      </c>
      <c r="B48" s="5" t="inlineStr">
        <is>
          <t>Sebastián Muñoz Torres</t>
        </is>
      </c>
      <c r="C48" s="6" t="inlineStr">
        <is>
          <t>10602143</t>
        </is>
      </c>
      <c r="D48" s="6" t="inlineStr">
        <is>
          <t>M</t>
        </is>
      </c>
      <c r="E48" s="6" t="n">
        <v>42</v>
      </c>
      <c r="F48" s="6" t="inlineStr">
        <is>
          <t>Adulto</t>
        </is>
      </c>
      <c r="G48" s="6" t="inlineStr">
        <is>
          <t>1984-05-26</t>
        </is>
      </c>
      <c r="H48" s="5" t="inlineStr">
        <is>
          <t>CAJACOPI</t>
        </is>
      </c>
      <c r="I48" s="6" t="inlineStr">
        <is>
          <t>3263263027</t>
        </is>
      </c>
      <c r="J48" s="6" t="inlineStr">
        <is>
          <t>3953175103</t>
        </is>
      </c>
      <c r="K48" s="6" t="inlineStr">
        <is>
          <t>10:30:00</t>
        </is>
      </c>
      <c r="L48" s="5" t="inlineStr">
        <is>
          <t>Herida con sangrado moderado</t>
        </is>
      </c>
      <c r="M48" s="8" t="inlineStr">
        <is>
          <t>T4 · VERDE</t>
        </is>
      </c>
      <c r="N48" s="6" t="n">
        <v>20</v>
      </c>
      <c r="O48" s="6" t="n">
        <v>119</v>
      </c>
      <c r="P48" s="5" t="inlineStr">
        <is>
          <t>Andrés Martínez</t>
        </is>
      </c>
    </row>
    <row r="49">
      <c r="A49" s="4" t="n">
        <v>61</v>
      </c>
      <c r="B49" s="5" t="inlineStr">
        <is>
          <t>Daniel Jiménez Jiménez</t>
        </is>
      </c>
      <c r="C49" s="6" t="inlineStr">
        <is>
          <t>89132668</t>
        </is>
      </c>
      <c r="D49" s="6" t="inlineStr">
        <is>
          <t>M</t>
        </is>
      </c>
      <c r="E49" s="6" t="n">
        <v>39</v>
      </c>
      <c r="F49" s="6" t="inlineStr">
        <is>
          <t>Adulto</t>
        </is>
      </c>
      <c r="G49" s="6" t="inlineStr">
        <is>
          <t>1987-05-26</t>
        </is>
      </c>
      <c r="H49" s="5" t="inlineStr">
        <is>
          <t>ALIANSALUD</t>
        </is>
      </c>
      <c r="I49" s="6" t="inlineStr">
        <is>
          <t>3396179392</t>
        </is>
      </c>
      <c r="J49" s="6" t="inlineStr">
        <is>
          <t>3782321535</t>
        </is>
      </c>
      <c r="K49" s="6" t="inlineStr">
        <is>
          <t>10:40:00</t>
        </is>
      </c>
      <c r="L49" s="5" t="inlineStr">
        <is>
          <t>Consulta menor (gripe, tos)</t>
        </is>
      </c>
      <c r="M49" s="10" t="inlineStr">
        <is>
          <t>T5 · AZUL</t>
        </is>
      </c>
      <c r="N49" s="6" t="n">
        <v>10</v>
      </c>
      <c r="O49" s="6" t="n">
        <v>49</v>
      </c>
      <c r="P49" s="5" t="inlineStr">
        <is>
          <t>Laura Gómez</t>
        </is>
      </c>
    </row>
    <row r="50">
      <c r="A50" s="4" t="n">
        <v>119</v>
      </c>
      <c r="B50" s="5" t="inlineStr">
        <is>
          <t>Felipe Martínez Martínez</t>
        </is>
      </c>
      <c r="C50" s="6" t="inlineStr">
        <is>
          <t>99893488</t>
        </is>
      </c>
      <c r="D50" s="6" t="inlineStr">
        <is>
          <t>M</t>
        </is>
      </c>
      <c r="E50" s="6" t="n">
        <v>64</v>
      </c>
      <c r="F50" s="6" t="inlineStr">
        <is>
          <t>Adulto mayor</t>
        </is>
      </c>
      <c r="G50" s="6" t="inlineStr">
        <is>
          <t>1962-05-26</t>
        </is>
      </c>
      <c r="H50" s="5" t="inlineStr">
        <is>
          <t>COOMEVA</t>
        </is>
      </c>
      <c r="I50" s="6" t="inlineStr">
        <is>
          <t>3193581438</t>
        </is>
      </c>
      <c r="J50" s="6" t="inlineStr">
        <is>
          <t>3765067471</t>
        </is>
      </c>
      <c r="K50" s="6" t="inlineStr">
        <is>
          <t>10:40:00</t>
        </is>
      </c>
      <c r="L50" s="5" t="inlineStr">
        <is>
          <t>Herida con sangrado moderado</t>
        </is>
      </c>
      <c r="M50" s="8" t="inlineStr">
        <is>
          <t>T4 · VERDE</t>
        </is>
      </c>
      <c r="N50" s="6" t="n">
        <v>20</v>
      </c>
      <c r="O50" s="6" t="n">
        <v>110</v>
      </c>
      <c r="P50" s="5" t="inlineStr">
        <is>
          <t>Carlos Ramírez</t>
        </is>
      </c>
    </row>
    <row r="51">
      <c r="A51" s="4" t="n">
        <v>40</v>
      </c>
      <c r="B51" s="5" t="inlineStr">
        <is>
          <t>Luis Moreno Pardo</t>
        </is>
      </c>
      <c r="C51" s="6" t="inlineStr">
        <is>
          <t>74360219</t>
        </is>
      </c>
      <c r="D51" s="6" t="inlineStr">
        <is>
          <t>M</t>
        </is>
      </c>
      <c r="E51" s="6" t="n">
        <v>61</v>
      </c>
      <c r="F51" s="6" t="inlineStr">
        <is>
          <t>Adulto mayor</t>
        </is>
      </c>
      <c r="G51" s="6" t="inlineStr">
        <is>
          <t>1965-05-26</t>
        </is>
      </c>
      <c r="H51" s="5" t="inlineStr">
        <is>
          <t>COMPENSAR</t>
        </is>
      </c>
      <c r="I51" s="6" t="inlineStr">
        <is>
          <t>3369776536</t>
        </is>
      </c>
      <c r="J51" s="6" t="inlineStr">
        <is>
          <t>3878124540</t>
        </is>
      </c>
      <c r="K51" s="6" t="inlineStr">
        <is>
          <t>10:44:00</t>
        </is>
      </c>
      <c r="L51" s="5" t="inlineStr">
        <is>
          <t>ACV / Derrame cerebral</t>
        </is>
      </c>
      <c r="M51" s="11" t="inlineStr">
        <is>
          <t>T2 · NARANJA</t>
        </is>
      </c>
      <c r="N51" s="6" t="n">
        <v>50</v>
      </c>
      <c r="O51" s="6" t="n">
        <v>89</v>
      </c>
      <c r="P51" s="5" t="inlineStr">
        <is>
          <t>Felipe Herrera</t>
        </is>
      </c>
    </row>
    <row r="52">
      <c r="A52" s="4" t="n">
        <v>17</v>
      </c>
      <c r="B52" s="5" t="inlineStr">
        <is>
          <t>Ricardo Medina Torres</t>
        </is>
      </c>
      <c r="C52" s="6" t="inlineStr">
        <is>
          <t>75050174</t>
        </is>
      </c>
      <c r="D52" s="6" t="inlineStr">
        <is>
          <t>M</t>
        </is>
      </c>
      <c r="E52" s="6" t="n">
        <v>20</v>
      </c>
      <c r="F52" s="6" t="inlineStr">
        <is>
          <t>Adulto</t>
        </is>
      </c>
      <c r="G52" s="6" t="inlineStr">
        <is>
          <t>2006-05-26</t>
        </is>
      </c>
      <c r="H52" s="5" t="inlineStr">
        <is>
          <t>SANITAS</t>
        </is>
      </c>
      <c r="I52" s="6" t="inlineStr">
        <is>
          <t>3996933805</t>
        </is>
      </c>
      <c r="J52" s="6" t="inlineStr">
        <is>
          <t>3939975013</t>
        </is>
      </c>
      <c r="K52" s="6" t="inlineStr">
        <is>
          <t>10:46:00</t>
        </is>
      </c>
      <c r="L52" s="5" t="inlineStr">
        <is>
          <t>Paro cardiorrespiratorio</t>
        </is>
      </c>
      <c r="M52" s="9" t="inlineStr">
        <is>
          <t>T1 · ROJO</t>
        </is>
      </c>
      <c r="N52" s="6" t="n">
        <v>60</v>
      </c>
      <c r="O52" s="6" t="n">
        <v>99</v>
      </c>
      <c r="P52" s="5" t="inlineStr">
        <is>
          <t>Felipe Herrera</t>
        </is>
      </c>
    </row>
    <row r="53">
      <c r="A53" s="4" t="n">
        <v>7</v>
      </c>
      <c r="B53" s="5" t="inlineStr">
        <is>
          <t>Juan Ospina Ramírez</t>
        </is>
      </c>
      <c r="C53" s="6" t="inlineStr">
        <is>
          <t>88610321</t>
        </is>
      </c>
      <c r="D53" s="6" t="inlineStr">
        <is>
          <t>M</t>
        </is>
      </c>
      <c r="E53" s="6" t="n">
        <v>78</v>
      </c>
      <c r="F53" s="6" t="inlineStr">
        <is>
          <t>Anciano</t>
        </is>
      </c>
      <c r="G53" s="6" t="inlineStr">
        <is>
          <t>1948-05-26</t>
        </is>
      </c>
      <c r="H53" s="5" t="inlineStr">
        <is>
          <t>COOMEVA</t>
        </is>
      </c>
      <c r="I53" s="6" t="inlineStr">
        <is>
          <t>3782554649</t>
        </is>
      </c>
      <c r="J53" s="6" t="inlineStr">
        <is>
          <t>3331630697</t>
        </is>
      </c>
      <c r="K53" s="6" t="inlineStr">
        <is>
          <t>10:48:00</t>
        </is>
      </c>
      <c r="L53" s="5" t="inlineStr">
        <is>
          <t>Dolor abdominal agudo</t>
        </is>
      </c>
      <c r="M53" s="7" t="inlineStr">
        <is>
          <t>T3 · AMARILLO</t>
        </is>
      </c>
      <c r="N53" s="6" t="n">
        <v>30</v>
      </c>
      <c r="O53" s="6" t="n">
        <v>49</v>
      </c>
      <c r="P53" s="5" t="inlineStr">
        <is>
          <t>Sofía Torres</t>
        </is>
      </c>
    </row>
    <row r="54">
      <c r="A54" s="4" t="n">
        <v>9</v>
      </c>
      <c r="B54" s="5" t="inlineStr">
        <is>
          <t>Ana Martínez López</t>
        </is>
      </c>
      <c r="C54" s="6" t="inlineStr">
        <is>
          <t>66520314</t>
        </is>
      </c>
      <c r="D54" s="6" t="inlineStr">
        <is>
          <t>F</t>
        </is>
      </c>
      <c r="E54" s="6" t="n">
        <v>88</v>
      </c>
      <c r="F54" s="6" t="inlineStr">
        <is>
          <t>Anciano</t>
        </is>
      </c>
      <c r="G54" s="6" t="inlineStr">
        <is>
          <t>1938-05-26</t>
        </is>
      </c>
      <c r="H54" s="5" t="inlineStr">
        <is>
          <t>SALUD TOTAL</t>
        </is>
      </c>
      <c r="I54" s="6" t="inlineStr">
        <is>
          <t>3265308988</t>
        </is>
      </c>
      <c r="J54" s="6" t="inlineStr">
        <is>
          <t>3655880196</t>
        </is>
      </c>
      <c r="K54" s="6" t="inlineStr">
        <is>
          <t>11:04:00</t>
        </is>
      </c>
      <c r="L54" s="5" t="inlineStr">
        <is>
          <t>Dolor abdominal agudo</t>
        </is>
      </c>
      <c r="M54" s="7" t="inlineStr">
        <is>
          <t>T3 · AMARILLO</t>
        </is>
      </c>
      <c r="N54" s="6" t="n">
        <v>30</v>
      </c>
      <c r="O54" s="6" t="n">
        <v>100</v>
      </c>
      <c r="P54" s="5" t="inlineStr">
        <is>
          <t>Sofía Torres</t>
        </is>
      </c>
    </row>
    <row r="55">
      <c r="A55" s="4" t="n">
        <v>103</v>
      </c>
      <c r="B55" s="5" t="inlineStr">
        <is>
          <t>Fernanda Moreno Medina</t>
        </is>
      </c>
      <c r="C55" s="6" t="inlineStr">
        <is>
          <t>53515072</t>
        </is>
      </c>
      <c r="D55" s="6" t="inlineStr">
        <is>
          <t>F</t>
        </is>
      </c>
      <c r="E55" s="6" t="n">
        <v>33</v>
      </c>
      <c r="F55" s="6" t="inlineStr">
        <is>
          <t>Adulto</t>
        </is>
      </c>
      <c r="G55" s="6" t="inlineStr">
        <is>
          <t>1993-05-26</t>
        </is>
      </c>
      <c r="H55" s="5" t="inlineStr">
        <is>
          <t>COOMEVA</t>
        </is>
      </c>
      <c r="I55" s="6" t="inlineStr">
        <is>
          <t>3881026839</t>
        </is>
      </c>
      <c r="J55" s="6" t="inlineStr">
        <is>
          <t>3732757351</t>
        </is>
      </c>
      <c r="K55" s="6" t="inlineStr">
        <is>
          <t>11:08:00</t>
        </is>
      </c>
      <c r="L55" s="5" t="inlineStr">
        <is>
          <t>Politraumatismo grave</t>
        </is>
      </c>
      <c r="M55" s="9" t="inlineStr">
        <is>
          <t>T1 · ROJO</t>
        </is>
      </c>
      <c r="N55" s="6" t="n">
        <v>90</v>
      </c>
      <c r="O55" s="6" t="n">
        <v>82</v>
      </c>
      <c r="P55" s="5" t="inlineStr">
        <is>
          <t>Carlos Ramírez</t>
        </is>
      </c>
    </row>
    <row r="56">
      <c r="A56" s="4" t="n">
        <v>146</v>
      </c>
      <c r="B56" s="5" t="inlineStr">
        <is>
          <t>Fernanda García Cárdenas</t>
        </is>
      </c>
      <c r="C56" s="6" t="inlineStr">
        <is>
          <t>51105919</t>
        </is>
      </c>
      <c r="D56" s="6" t="inlineStr">
        <is>
          <t>F</t>
        </is>
      </c>
      <c r="E56" s="6" t="n">
        <v>78</v>
      </c>
      <c r="F56" s="6" t="inlineStr">
        <is>
          <t>Anciano</t>
        </is>
      </c>
      <c r="G56" s="6" t="inlineStr">
        <is>
          <t>1948-05-26</t>
        </is>
      </c>
      <c r="H56" s="5" t="inlineStr">
        <is>
          <t>NUEVA EPS</t>
        </is>
      </c>
      <c r="I56" s="6" t="inlineStr">
        <is>
          <t>3171877044</t>
        </is>
      </c>
      <c r="J56" s="6" t="inlineStr">
        <is>
          <t>3815770366</t>
        </is>
      </c>
      <c r="K56" s="6" t="inlineStr">
        <is>
          <t>11:10:00</t>
        </is>
      </c>
      <c r="L56" s="5" t="inlineStr">
        <is>
          <t>Dolor abdominal agudo</t>
        </is>
      </c>
      <c r="M56" s="7" t="inlineStr">
        <is>
          <t>T3 · AMARILLO</t>
        </is>
      </c>
      <c r="N56" s="6" t="n">
        <v>30</v>
      </c>
      <c r="O56" s="6" t="n">
        <v>56</v>
      </c>
      <c r="P56" s="5" t="inlineStr">
        <is>
          <t>Andrés Martínez</t>
        </is>
      </c>
    </row>
    <row r="57">
      <c r="A57" s="4" t="n">
        <v>50</v>
      </c>
      <c r="B57" s="5" t="inlineStr">
        <is>
          <t>Mariana Martínez Morales</t>
        </is>
      </c>
      <c r="C57" s="6" t="inlineStr">
        <is>
          <t>65359193</t>
        </is>
      </c>
      <c r="D57" s="6" t="inlineStr">
        <is>
          <t>F</t>
        </is>
      </c>
      <c r="E57" s="6" t="n">
        <v>71</v>
      </c>
      <c r="F57" s="6" t="inlineStr">
        <is>
          <t>Adulto mayor</t>
        </is>
      </c>
      <c r="G57" s="6" t="inlineStr">
        <is>
          <t>1955-05-26</t>
        </is>
      </c>
      <c r="H57" s="5" t="inlineStr">
        <is>
          <t>NUEVA EPS</t>
        </is>
      </c>
      <c r="I57" s="6" t="inlineStr">
        <is>
          <t>3995196033</t>
        </is>
      </c>
      <c r="J57" s="6" t="inlineStr">
        <is>
          <t>3393900704</t>
        </is>
      </c>
      <c r="K57" s="6" t="inlineStr">
        <is>
          <t>11:17:00</t>
        </is>
      </c>
      <c r="L57" s="5" t="inlineStr">
        <is>
          <t>Fractura con compromiso vascular</t>
        </is>
      </c>
      <c r="M57" s="7" t="inlineStr">
        <is>
          <t>T3 · AMARILLO</t>
        </is>
      </c>
      <c r="N57" s="6" t="n">
        <v>35</v>
      </c>
      <c r="O57" s="6" t="n">
        <v>71</v>
      </c>
      <c r="P57" s="5" t="inlineStr">
        <is>
          <t>Laura Gómez</t>
        </is>
      </c>
    </row>
    <row r="58">
      <c r="A58" s="4" t="n">
        <v>77</v>
      </c>
      <c r="B58" s="5" t="inlineStr">
        <is>
          <t>Alejandra Reyes Cruz</t>
        </is>
      </c>
      <c r="C58" s="6" t="inlineStr">
        <is>
          <t>59485314</t>
        </is>
      </c>
      <c r="D58" s="6" t="inlineStr">
        <is>
          <t>F</t>
        </is>
      </c>
      <c r="E58" s="6" t="n">
        <v>28</v>
      </c>
      <c r="F58" s="6" t="inlineStr">
        <is>
          <t>Adulto</t>
        </is>
      </c>
      <c r="G58" s="6" t="inlineStr">
        <is>
          <t>1998-05-26</t>
        </is>
      </c>
      <c r="H58" s="5" t="inlineStr">
        <is>
          <t>COMPENSAR</t>
        </is>
      </c>
      <c r="I58" s="6" t="inlineStr">
        <is>
          <t>3464502070</t>
        </is>
      </c>
      <c r="J58" s="6" t="inlineStr">
        <is>
          <t>3399004401</t>
        </is>
      </c>
      <c r="K58" s="6" t="inlineStr">
        <is>
          <t>11:28:00</t>
        </is>
      </c>
      <c r="L58" s="5" t="inlineStr">
        <is>
          <t>Fiebre alta con convulsión</t>
        </is>
      </c>
      <c r="M58" s="8" t="inlineStr">
        <is>
          <t>T4 · VERDE</t>
        </is>
      </c>
      <c r="N58" s="6" t="n">
        <v>25</v>
      </c>
      <c r="O58" s="6" t="n">
        <v>101</v>
      </c>
      <c r="P58" s="5" t="inlineStr">
        <is>
          <t>Laura Gómez</t>
        </is>
      </c>
    </row>
    <row r="59">
      <c r="A59" s="4" t="n">
        <v>46</v>
      </c>
      <c r="B59" s="5" t="inlineStr">
        <is>
          <t>Natalia García Moreno</t>
        </is>
      </c>
      <c r="C59" s="6" t="inlineStr">
        <is>
          <t>18897963</t>
        </is>
      </c>
      <c r="D59" s="6" t="inlineStr">
        <is>
          <t>F</t>
        </is>
      </c>
      <c r="E59" s="6" t="n">
        <v>57</v>
      </c>
      <c r="F59" s="6" t="inlineStr">
        <is>
          <t>Adulto</t>
        </is>
      </c>
      <c r="G59" s="6" t="inlineStr">
        <is>
          <t>1969-05-26</t>
        </is>
      </c>
      <c r="H59" s="5" t="inlineStr">
        <is>
          <t>SURA</t>
        </is>
      </c>
      <c r="I59" s="6" t="inlineStr">
        <is>
          <t>3553163637</t>
        </is>
      </c>
      <c r="J59" s="6" t="inlineStr">
        <is>
          <t>3926960581</t>
        </is>
      </c>
      <c r="K59" s="6" t="inlineStr">
        <is>
          <t>11:39:00</t>
        </is>
      </c>
      <c r="L59" s="5" t="inlineStr">
        <is>
          <t>Fractura con compromiso vascular</t>
        </is>
      </c>
      <c r="M59" s="7" t="inlineStr">
        <is>
          <t>T3 · AMARILLO</t>
        </is>
      </c>
      <c r="N59" s="6" t="n">
        <v>35</v>
      </c>
      <c r="O59" s="6" t="n">
        <v>16</v>
      </c>
      <c r="P59" s="5" t="inlineStr">
        <is>
          <t>Sofía Torres</t>
        </is>
      </c>
    </row>
    <row r="60">
      <c r="A60" s="4" t="n">
        <v>105</v>
      </c>
      <c r="B60" s="5" t="inlineStr">
        <is>
          <t>David Muñoz Herrera</t>
        </is>
      </c>
      <c r="C60" s="6" t="inlineStr">
        <is>
          <t>76182417</t>
        </is>
      </c>
      <c r="D60" s="6" t="inlineStr">
        <is>
          <t>M</t>
        </is>
      </c>
      <c r="E60" s="6" t="n">
        <v>80</v>
      </c>
      <c r="F60" s="6" t="inlineStr">
        <is>
          <t>Anciano</t>
        </is>
      </c>
      <c r="G60" s="6" t="inlineStr">
        <is>
          <t>1946-05-26</t>
        </is>
      </c>
      <c r="H60" s="5" t="inlineStr">
        <is>
          <t>ALIANSALUD</t>
        </is>
      </c>
      <c r="I60" s="6" t="inlineStr">
        <is>
          <t>3491689853</t>
        </is>
      </c>
      <c r="J60" s="6" t="inlineStr">
        <is>
          <t>3102129932</t>
        </is>
      </c>
      <c r="K60" s="6" t="inlineStr">
        <is>
          <t>11:42:00</t>
        </is>
      </c>
      <c r="L60" s="5" t="inlineStr">
        <is>
          <t>Consulta menor (gripe, tos)</t>
        </is>
      </c>
      <c r="M60" s="10" t="inlineStr">
        <is>
          <t>T5 · AZUL</t>
        </is>
      </c>
      <c r="N60" s="6" t="n">
        <v>10</v>
      </c>
      <c r="O60" s="6" t="n">
        <v>15</v>
      </c>
      <c r="P60" s="5" t="inlineStr">
        <is>
          <t>Carlos Ramírez</t>
        </is>
      </c>
    </row>
    <row r="61">
      <c r="A61" s="4" t="n">
        <v>78</v>
      </c>
      <c r="B61" s="5" t="inlineStr">
        <is>
          <t>Sebastián Medina Morales</t>
        </is>
      </c>
      <c r="C61" s="6" t="inlineStr">
        <is>
          <t>99802112</t>
        </is>
      </c>
      <c r="D61" s="6" t="inlineStr">
        <is>
          <t>M</t>
        </is>
      </c>
      <c r="E61" s="6" t="n">
        <v>53</v>
      </c>
      <c r="F61" s="6" t="inlineStr">
        <is>
          <t>Adulto</t>
        </is>
      </c>
      <c r="G61" s="6" t="inlineStr">
        <is>
          <t>1973-05-26</t>
        </is>
      </c>
      <c r="H61" s="5" t="inlineStr">
        <is>
          <t>SURA</t>
        </is>
      </c>
      <c r="I61" s="6" t="inlineStr">
        <is>
          <t>3207401324</t>
        </is>
      </c>
      <c r="J61" s="6" t="inlineStr">
        <is>
          <t>3339939997</t>
        </is>
      </c>
      <c r="K61" s="6" t="inlineStr">
        <is>
          <t>11:49:00</t>
        </is>
      </c>
      <c r="L61" s="5" t="inlineStr">
        <is>
          <t>Fiebre alta con convulsión</t>
        </is>
      </c>
      <c r="M61" s="8" t="inlineStr">
        <is>
          <t>T4 · VERDE</t>
        </is>
      </c>
      <c r="N61" s="6" t="n">
        <v>25</v>
      </c>
      <c r="O61" s="6" t="n">
        <v>26</v>
      </c>
      <c r="P61" s="5" t="inlineStr">
        <is>
          <t>Felipe Herrera</t>
        </is>
      </c>
    </row>
    <row r="62">
      <c r="A62" s="4" t="n">
        <v>139</v>
      </c>
      <c r="B62" s="5" t="inlineStr">
        <is>
          <t>Luis Martínez Herrera</t>
        </is>
      </c>
      <c r="C62" s="6" t="inlineStr">
        <is>
          <t>72643618</t>
        </is>
      </c>
      <c r="D62" s="6" t="inlineStr">
        <is>
          <t>M</t>
        </is>
      </c>
      <c r="E62" s="6" t="n">
        <v>59</v>
      </c>
      <c r="F62" s="6" t="inlineStr">
        <is>
          <t>Adulto</t>
        </is>
      </c>
      <c r="G62" s="6" t="inlineStr">
        <is>
          <t>1967-05-26</t>
        </is>
      </c>
      <c r="H62" s="5" t="inlineStr">
        <is>
          <t>CAJACOPI</t>
        </is>
      </c>
      <c r="I62" s="6" t="inlineStr">
        <is>
          <t>3352707024</t>
        </is>
      </c>
      <c r="J62" s="6" t="inlineStr">
        <is>
          <t>3288737801</t>
        </is>
      </c>
      <c r="K62" s="6" t="inlineStr">
        <is>
          <t>11:50:00</t>
        </is>
      </c>
      <c r="L62" s="5" t="inlineStr">
        <is>
          <t>Dolor abdominal agudo</t>
        </is>
      </c>
      <c r="M62" s="7" t="inlineStr">
        <is>
          <t>T3 · AMARILLO</t>
        </is>
      </c>
      <c r="N62" s="6" t="n">
        <v>30</v>
      </c>
      <c r="O62" s="6" t="n">
        <v>55</v>
      </c>
      <c r="P62" s="5" t="inlineStr">
        <is>
          <t>Andrés Martínez</t>
        </is>
      </c>
    </row>
    <row r="63">
      <c r="A63" s="4" t="n">
        <v>27</v>
      </c>
      <c r="B63" s="5" t="inlineStr">
        <is>
          <t>Daniel Medina Gómez</t>
        </is>
      </c>
      <c r="C63" s="6" t="inlineStr">
        <is>
          <t>98991832</t>
        </is>
      </c>
      <c r="D63" s="6" t="inlineStr">
        <is>
          <t>M</t>
        </is>
      </c>
      <c r="E63" s="6" t="n">
        <v>34</v>
      </c>
      <c r="F63" s="6" t="inlineStr">
        <is>
          <t>Adulto</t>
        </is>
      </c>
      <c r="G63" s="6" t="inlineStr">
        <is>
          <t>1992-05-26</t>
        </is>
      </c>
      <c r="H63" s="5" t="inlineStr">
        <is>
          <t>FAMISANAR</t>
        </is>
      </c>
      <c r="I63" s="6" t="inlineStr">
        <is>
          <t>3357115964</t>
        </is>
      </c>
      <c r="J63" s="6" t="inlineStr">
        <is>
          <t>3243672535</t>
        </is>
      </c>
      <c r="K63" s="6" t="inlineStr">
        <is>
          <t>11:58:00</t>
        </is>
      </c>
      <c r="L63" s="5" t="inlineStr">
        <is>
          <t>Fiebre alta con convulsión</t>
        </is>
      </c>
      <c r="M63" s="8" t="inlineStr">
        <is>
          <t>T4 · VERDE</t>
        </is>
      </c>
      <c r="N63" s="6" t="n">
        <v>25</v>
      </c>
      <c r="O63" s="6" t="n">
        <v>73</v>
      </c>
      <c r="P63" s="5" t="inlineStr">
        <is>
          <t>Felipe Herrera</t>
        </is>
      </c>
    </row>
    <row r="64">
      <c r="A64" s="4" t="n">
        <v>95</v>
      </c>
      <c r="B64" s="5" t="inlineStr">
        <is>
          <t>Jorge Alvarado Rodríguez</t>
        </is>
      </c>
      <c r="C64" s="6" t="inlineStr">
        <is>
          <t>33092780</t>
        </is>
      </c>
      <c r="D64" s="6" t="inlineStr">
        <is>
          <t>M</t>
        </is>
      </c>
      <c r="E64" s="6" t="n">
        <v>24</v>
      </c>
      <c r="F64" s="6" t="inlineStr">
        <is>
          <t>Adulto</t>
        </is>
      </c>
      <c r="G64" s="6" t="inlineStr">
        <is>
          <t>2002-05-26</t>
        </is>
      </c>
      <c r="H64" s="5" t="inlineStr">
        <is>
          <t>COOMEVA</t>
        </is>
      </c>
      <c r="I64" s="6" t="inlineStr">
        <is>
          <t>3349999372</t>
        </is>
      </c>
      <c r="J64" s="6" t="inlineStr">
        <is>
          <t>3388050897</t>
        </is>
      </c>
      <c r="K64" s="6" t="inlineStr">
        <is>
          <t>12:00:00</t>
        </is>
      </c>
      <c r="L64" s="5" t="inlineStr">
        <is>
          <t>Dolor abdominal agudo</t>
        </is>
      </c>
      <c r="M64" s="7" t="inlineStr">
        <is>
          <t>T3 · AMARILLO</t>
        </is>
      </c>
      <c r="N64" s="6" t="n">
        <v>30</v>
      </c>
      <c r="O64" s="6" t="n">
        <v>57</v>
      </c>
      <c r="P64" s="5" t="inlineStr">
        <is>
          <t>Andrés Martínez</t>
        </is>
      </c>
    </row>
    <row r="65">
      <c r="A65" s="4" t="n">
        <v>113</v>
      </c>
      <c r="B65" s="5" t="inlineStr">
        <is>
          <t>Paula Reyes Muñoz</t>
        </is>
      </c>
      <c r="C65" s="6" t="inlineStr">
        <is>
          <t>22842701</t>
        </is>
      </c>
      <c r="D65" s="6" t="inlineStr">
        <is>
          <t>F</t>
        </is>
      </c>
      <c r="E65" s="6" t="n">
        <v>28</v>
      </c>
      <c r="F65" s="6" t="inlineStr">
        <is>
          <t>Adulto</t>
        </is>
      </c>
      <c r="G65" s="6" t="inlineStr">
        <is>
          <t>1998-05-26</t>
        </is>
      </c>
      <c r="H65" s="5" t="inlineStr">
        <is>
          <t>ALIANSALUD</t>
        </is>
      </c>
      <c r="I65" s="6" t="inlineStr">
        <is>
          <t>3609039930</t>
        </is>
      </c>
      <c r="J65" s="6" t="inlineStr">
        <is>
          <t>3748032000</t>
        </is>
      </c>
      <c r="K65" s="6" t="inlineStr">
        <is>
          <t>12:01:00</t>
        </is>
      </c>
      <c r="L65" s="5" t="inlineStr">
        <is>
          <t>Dificultad respiratoria severa</t>
        </is>
      </c>
      <c r="M65" s="11" t="inlineStr">
        <is>
          <t>T2 · NARANJA</t>
        </is>
      </c>
      <c r="N65" s="6" t="n">
        <v>45</v>
      </c>
      <c r="O65" s="6" t="n">
        <v>95</v>
      </c>
      <c r="P65" s="5" t="inlineStr">
        <is>
          <t>Laura Gómez</t>
        </is>
      </c>
    </row>
    <row r="66">
      <c r="A66" s="4" t="n">
        <v>15</v>
      </c>
      <c r="B66" s="5" t="inlineStr">
        <is>
          <t>Isabella Ríos Martínez</t>
        </is>
      </c>
      <c r="C66" s="6" t="inlineStr">
        <is>
          <t>81358675</t>
        </is>
      </c>
      <c r="D66" s="6" t="inlineStr">
        <is>
          <t>F</t>
        </is>
      </c>
      <c r="E66" s="6" t="n">
        <v>28</v>
      </c>
      <c r="F66" s="6" t="inlineStr">
        <is>
          <t>Adulto</t>
        </is>
      </c>
      <c r="G66" s="6" t="inlineStr">
        <is>
          <t>1998-05-26</t>
        </is>
      </c>
      <c r="H66" s="5" t="inlineStr">
        <is>
          <t>NUEVA EPS</t>
        </is>
      </c>
      <c r="I66" s="6" t="inlineStr">
        <is>
          <t>3829942458</t>
        </is>
      </c>
      <c r="J66" s="6" t="inlineStr">
        <is>
          <t>3451201428</t>
        </is>
      </c>
      <c r="K66" s="6" t="inlineStr">
        <is>
          <t>12:03:00</t>
        </is>
      </c>
      <c r="L66" s="5" t="inlineStr">
        <is>
          <t>ACV / Derrame cerebral</t>
        </is>
      </c>
      <c r="M66" s="11" t="inlineStr">
        <is>
          <t>T2 · NARANJA</t>
        </is>
      </c>
      <c r="N66" s="6" t="n">
        <v>50</v>
      </c>
      <c r="O66" s="6" t="n">
        <v>9</v>
      </c>
      <c r="P66" s="5" t="inlineStr">
        <is>
          <t>Andrés Martínez</t>
        </is>
      </c>
    </row>
    <row r="67">
      <c r="A67" s="4" t="n">
        <v>48</v>
      </c>
      <c r="B67" s="5" t="inlineStr">
        <is>
          <t>Nicolás Herrera Díaz</t>
        </is>
      </c>
      <c r="C67" s="6" t="inlineStr">
        <is>
          <t>71423618</t>
        </is>
      </c>
      <c r="D67" s="6" t="inlineStr">
        <is>
          <t>M</t>
        </is>
      </c>
      <c r="E67" s="6" t="n">
        <v>33</v>
      </c>
      <c r="F67" s="6" t="inlineStr">
        <is>
          <t>Adulto</t>
        </is>
      </c>
      <c r="G67" s="6" t="inlineStr">
        <is>
          <t>1993-05-26</t>
        </is>
      </c>
      <c r="H67" s="5" t="inlineStr">
        <is>
          <t>ALIANSALUD</t>
        </is>
      </c>
      <c r="I67" s="6" t="inlineStr">
        <is>
          <t>3607231302</t>
        </is>
      </c>
      <c r="J67" s="6" t="inlineStr">
        <is>
          <t>3733284771</t>
        </is>
      </c>
      <c r="K67" s="6" t="inlineStr">
        <is>
          <t>12:08:00</t>
        </is>
      </c>
      <c r="L67" s="5" t="inlineStr">
        <is>
          <t>Fractura con compromiso vascular</t>
        </is>
      </c>
      <c r="M67" s="7" t="inlineStr">
        <is>
          <t>T3 · AMARILLO</t>
        </is>
      </c>
      <c r="N67" s="6" t="n">
        <v>35</v>
      </c>
      <c r="O67" s="6" t="n">
        <v>87</v>
      </c>
      <c r="P67" s="5" t="inlineStr">
        <is>
          <t>Laura Gómez</t>
        </is>
      </c>
    </row>
    <row r="68">
      <c r="A68" s="4" t="n">
        <v>81</v>
      </c>
      <c r="B68" s="5" t="inlineStr">
        <is>
          <t>Mariana Pardo Jiménez</t>
        </is>
      </c>
      <c r="C68" s="6" t="inlineStr">
        <is>
          <t>60945783</t>
        </is>
      </c>
      <c r="D68" s="6" t="inlineStr">
        <is>
          <t>F</t>
        </is>
      </c>
      <c r="E68" s="6" t="n">
        <v>40</v>
      </c>
      <c r="F68" s="6" t="inlineStr">
        <is>
          <t>Adulto</t>
        </is>
      </c>
      <c r="G68" s="6" t="inlineStr">
        <is>
          <t>1986-05-26</t>
        </is>
      </c>
      <c r="H68" s="5" t="inlineStr">
        <is>
          <t>SALUD TOTAL</t>
        </is>
      </c>
      <c r="I68" s="6" t="inlineStr">
        <is>
          <t>3174669459</t>
        </is>
      </c>
      <c r="J68" s="6" t="inlineStr">
        <is>
          <t>3218409721</t>
        </is>
      </c>
      <c r="K68" s="6" t="inlineStr">
        <is>
          <t>12:11:00</t>
        </is>
      </c>
      <c r="L68" s="5" t="inlineStr">
        <is>
          <t>Dificultad respiratoria severa</t>
        </is>
      </c>
      <c r="M68" s="11" t="inlineStr">
        <is>
          <t>T2 · NARANJA</t>
        </is>
      </c>
      <c r="N68" s="6" t="n">
        <v>45</v>
      </c>
      <c r="O68" s="6" t="n">
        <v>56</v>
      </c>
      <c r="P68" s="5" t="inlineStr">
        <is>
          <t>Sofía Torres</t>
        </is>
      </c>
    </row>
    <row r="69">
      <c r="A69" s="4" t="n">
        <v>101</v>
      </c>
      <c r="B69" s="5" t="inlineStr">
        <is>
          <t>Natalia Muñoz Pardo</t>
        </is>
      </c>
      <c r="C69" s="6" t="inlineStr">
        <is>
          <t>54538834</t>
        </is>
      </c>
      <c r="D69" s="6" t="inlineStr">
        <is>
          <t>F</t>
        </is>
      </c>
      <c r="E69" s="6" t="n">
        <v>63</v>
      </c>
      <c r="F69" s="6" t="inlineStr">
        <is>
          <t>Adulto mayor</t>
        </is>
      </c>
      <c r="G69" s="6" t="inlineStr">
        <is>
          <t>1963-05-26</t>
        </is>
      </c>
      <c r="H69" s="5" t="inlineStr">
        <is>
          <t>SALUD TOTAL</t>
        </is>
      </c>
      <c r="I69" s="6" t="inlineStr">
        <is>
          <t>3341096185</t>
        </is>
      </c>
      <c r="J69" s="6" t="inlineStr">
        <is>
          <t>3289935462</t>
        </is>
      </c>
      <c r="K69" s="6" t="inlineStr">
        <is>
          <t>12:24:00</t>
        </is>
      </c>
      <c r="L69" s="5" t="inlineStr">
        <is>
          <t>Dificultad respiratoria severa</t>
        </is>
      </c>
      <c r="M69" s="11" t="inlineStr">
        <is>
          <t>T2 · NARANJA</t>
        </is>
      </c>
      <c r="N69" s="6" t="n">
        <v>45</v>
      </c>
      <c r="O69" s="6" t="n">
        <v>113</v>
      </c>
      <c r="P69" s="5" t="inlineStr">
        <is>
          <t>Laura Gómez</t>
        </is>
      </c>
    </row>
    <row r="70">
      <c r="A70" s="4" t="n">
        <v>56</v>
      </c>
      <c r="B70" s="5" t="inlineStr">
        <is>
          <t>Alejandra Cruz Ospina</t>
        </is>
      </c>
      <c r="C70" s="6" t="inlineStr">
        <is>
          <t>81907419</t>
        </is>
      </c>
      <c r="D70" s="6" t="inlineStr">
        <is>
          <t>F</t>
        </is>
      </c>
      <c r="E70" s="6" t="n">
        <v>51</v>
      </c>
      <c r="F70" s="6" t="inlineStr">
        <is>
          <t>Adulto</t>
        </is>
      </c>
      <c r="G70" s="6" t="inlineStr">
        <is>
          <t>1975-05-26</t>
        </is>
      </c>
      <c r="H70" s="5" t="inlineStr">
        <is>
          <t>COOMEVA</t>
        </is>
      </c>
      <c r="I70" s="6" t="inlineStr">
        <is>
          <t>3721194591</t>
        </is>
      </c>
      <c r="J70" s="6" t="inlineStr">
        <is>
          <t>3588314360</t>
        </is>
      </c>
      <c r="K70" s="6" t="inlineStr">
        <is>
          <t>12:25:00</t>
        </is>
      </c>
      <c r="L70" s="5" t="inlineStr">
        <is>
          <t>Dolor abdominal agudo</t>
        </is>
      </c>
      <c r="M70" s="7" t="inlineStr">
        <is>
          <t>T3 · AMARILLO</t>
        </is>
      </c>
      <c r="N70" s="6" t="n">
        <v>30</v>
      </c>
      <c r="O70" s="6" t="n">
        <v>24</v>
      </c>
      <c r="P70" s="5" t="inlineStr">
        <is>
          <t>Carlos Ramírez</t>
        </is>
      </c>
    </row>
    <row r="71">
      <c r="A71" s="4" t="n">
        <v>5</v>
      </c>
      <c r="B71" s="5" t="inlineStr">
        <is>
          <t>Natalia Gómez Moreno</t>
        </is>
      </c>
      <c r="C71" s="6" t="inlineStr">
        <is>
          <t>38378349</t>
        </is>
      </c>
      <c r="D71" s="6" t="inlineStr">
        <is>
          <t>F</t>
        </is>
      </c>
      <c r="E71" s="6" t="n">
        <v>51</v>
      </c>
      <c r="F71" s="6" t="inlineStr">
        <is>
          <t>Adulto</t>
        </is>
      </c>
      <c r="G71" s="6" t="inlineStr">
        <is>
          <t>1975-05-26</t>
        </is>
      </c>
      <c r="H71" s="5" t="inlineStr">
        <is>
          <t>SANITAS</t>
        </is>
      </c>
      <c r="I71" s="6" t="inlineStr">
        <is>
          <t>3863523964</t>
        </is>
      </c>
      <c r="J71" s="6" t="inlineStr">
        <is>
          <t>3877850128</t>
        </is>
      </c>
      <c r="K71" s="6" t="inlineStr">
        <is>
          <t>12:32:00</t>
        </is>
      </c>
      <c r="L71" s="5" t="inlineStr">
        <is>
          <t>Dolor abdominal agudo</t>
        </is>
      </c>
      <c r="M71" s="7" t="inlineStr">
        <is>
          <t>T3 · AMARILLO</t>
        </is>
      </c>
      <c r="N71" s="6" t="n">
        <v>30</v>
      </c>
      <c r="O71" s="6" t="n">
        <v>118</v>
      </c>
      <c r="P71" s="5" t="inlineStr">
        <is>
          <t>Carlos Ramírez</t>
        </is>
      </c>
    </row>
    <row r="72">
      <c r="A72" s="4" t="n">
        <v>142</v>
      </c>
      <c r="B72" s="5" t="inlineStr">
        <is>
          <t>Luis Martínez Herrera</t>
        </is>
      </c>
      <c r="C72" s="6" t="inlineStr">
        <is>
          <t>31073993</t>
        </is>
      </c>
      <c r="D72" s="6" t="inlineStr">
        <is>
          <t>M</t>
        </is>
      </c>
      <c r="E72" s="6" t="n">
        <v>10</v>
      </c>
      <c r="F72" s="6" t="inlineStr">
        <is>
          <t>Menor de edad</t>
        </is>
      </c>
      <c r="G72" s="6" t="inlineStr">
        <is>
          <t>2016-05-26</t>
        </is>
      </c>
      <c r="H72" s="5" t="inlineStr">
        <is>
          <t>COOMEVA</t>
        </is>
      </c>
      <c r="I72" s="6" t="inlineStr">
        <is>
          <t>3169114415</t>
        </is>
      </c>
      <c r="J72" s="6" t="inlineStr">
        <is>
          <t>3815484381</t>
        </is>
      </c>
      <c r="K72" s="6" t="inlineStr">
        <is>
          <t>12:32:00</t>
        </is>
      </c>
      <c r="L72" s="5" t="inlineStr">
        <is>
          <t>Dolor abdominal agudo</t>
        </is>
      </c>
      <c r="M72" s="7" t="inlineStr">
        <is>
          <t>T3 · AMARILLO</t>
        </is>
      </c>
      <c r="N72" s="6" t="n">
        <v>30</v>
      </c>
      <c r="O72" s="6" t="n">
        <v>92</v>
      </c>
      <c r="P72" s="5" t="inlineStr">
        <is>
          <t>Felipe Herrera</t>
        </is>
      </c>
    </row>
    <row r="73">
      <c r="A73" s="4" t="n">
        <v>45</v>
      </c>
      <c r="B73" s="5" t="inlineStr">
        <is>
          <t>María Muñoz Cárdenas</t>
        </is>
      </c>
      <c r="C73" s="6" t="inlineStr">
        <is>
          <t>13633434</t>
        </is>
      </c>
      <c r="D73" s="6" t="inlineStr">
        <is>
          <t>F</t>
        </is>
      </c>
      <c r="E73" s="6" t="n">
        <v>61</v>
      </c>
      <c r="F73" s="6" t="inlineStr">
        <is>
          <t>Adulto mayor</t>
        </is>
      </c>
      <c r="G73" s="6" t="inlineStr">
        <is>
          <t>1965-05-26</t>
        </is>
      </c>
      <c r="H73" s="5" t="inlineStr">
        <is>
          <t>CAJACOPI</t>
        </is>
      </c>
      <c r="I73" s="6" t="inlineStr">
        <is>
          <t>3592551390</t>
        </is>
      </c>
      <c r="J73" s="6" t="inlineStr">
        <is>
          <t>3541492983</t>
        </is>
      </c>
      <c r="K73" s="6" t="inlineStr">
        <is>
          <t>12:36:00</t>
        </is>
      </c>
      <c r="L73" s="5" t="inlineStr">
        <is>
          <t>Dificultad respiratoria severa</t>
        </is>
      </c>
      <c r="M73" s="11" t="inlineStr">
        <is>
          <t>T2 · NARANJA</t>
        </is>
      </c>
      <c r="N73" s="6" t="n">
        <v>45</v>
      </c>
      <c r="O73" s="6" t="n">
        <v>33</v>
      </c>
      <c r="P73" s="5" t="inlineStr">
        <is>
          <t>Andrés Martínez</t>
        </is>
      </c>
    </row>
    <row r="74">
      <c r="A74" s="4" t="n">
        <v>73</v>
      </c>
      <c r="B74" s="5" t="inlineStr">
        <is>
          <t>David Medina Cárdenas</t>
        </is>
      </c>
      <c r="C74" s="6" t="inlineStr">
        <is>
          <t>78333206</t>
        </is>
      </c>
      <c r="D74" s="6" t="inlineStr">
        <is>
          <t>M</t>
        </is>
      </c>
      <c r="E74" s="6" t="n">
        <v>72</v>
      </c>
      <c r="F74" s="6" t="inlineStr">
        <is>
          <t>Adulto mayor</t>
        </is>
      </c>
      <c r="G74" s="6" t="inlineStr">
        <is>
          <t>1954-05-26</t>
        </is>
      </c>
      <c r="H74" s="5" t="inlineStr">
        <is>
          <t>MEDIMAS</t>
        </is>
      </c>
      <c r="I74" s="6" t="inlineStr">
        <is>
          <t>3316760817</t>
        </is>
      </c>
      <c r="J74" s="6" t="inlineStr">
        <is>
          <t>3575068993</t>
        </is>
      </c>
      <c r="K74" s="6" t="inlineStr">
        <is>
          <t>12:39:00</t>
        </is>
      </c>
      <c r="L74" s="5" t="inlineStr">
        <is>
          <t>Herida con sangrado moderado</t>
        </is>
      </c>
      <c r="M74" s="8" t="inlineStr">
        <is>
          <t>T4 · VERDE</t>
        </is>
      </c>
      <c r="N74" s="6" t="n">
        <v>20</v>
      </c>
      <c r="O74" s="6" t="n">
        <v>44</v>
      </c>
      <c r="P74" s="5" t="inlineStr">
        <is>
          <t>Felipe Herrera</t>
        </is>
      </c>
    </row>
    <row r="75">
      <c r="A75" s="4" t="n">
        <v>134</v>
      </c>
      <c r="B75" s="5" t="inlineStr">
        <is>
          <t>Camilo Díaz Morales</t>
        </is>
      </c>
      <c r="C75" s="6" t="inlineStr">
        <is>
          <t>83516068</t>
        </is>
      </c>
      <c r="D75" s="6" t="inlineStr">
        <is>
          <t>M</t>
        </is>
      </c>
      <c r="E75" s="6" t="n">
        <v>53</v>
      </c>
      <c r="F75" s="6" t="inlineStr">
        <is>
          <t>Adulto</t>
        </is>
      </c>
      <c r="G75" s="6" t="inlineStr">
        <is>
          <t>1973-05-26</t>
        </is>
      </c>
      <c r="H75" s="5" t="inlineStr">
        <is>
          <t>SALUD TOTAL</t>
        </is>
      </c>
      <c r="I75" s="6" t="inlineStr">
        <is>
          <t>3665980714</t>
        </is>
      </c>
      <c r="J75" s="6" t="inlineStr">
        <is>
          <t>3232023322</t>
        </is>
      </c>
      <c r="K75" s="6" t="inlineStr">
        <is>
          <t>12:39:00</t>
        </is>
      </c>
      <c r="L75" s="5" t="inlineStr">
        <is>
          <t>Fractura con compromiso vascular</t>
        </is>
      </c>
      <c r="M75" s="7" t="inlineStr">
        <is>
          <t>T3 · AMARILLO</t>
        </is>
      </c>
      <c r="N75" s="6" t="n">
        <v>35</v>
      </c>
      <c r="O75" s="6" t="n">
        <v>102</v>
      </c>
      <c r="P75" s="5" t="inlineStr">
        <is>
          <t>Laura Gómez</t>
        </is>
      </c>
    </row>
    <row r="76">
      <c r="A76" s="4" t="n">
        <v>141</v>
      </c>
      <c r="B76" s="5" t="inlineStr">
        <is>
          <t>Natalia Torres Morales</t>
        </is>
      </c>
      <c r="C76" s="6" t="inlineStr">
        <is>
          <t>24120313</t>
        </is>
      </c>
      <c r="D76" s="6" t="inlineStr">
        <is>
          <t>F</t>
        </is>
      </c>
      <c r="E76" s="6" t="n">
        <v>84</v>
      </c>
      <c r="F76" s="6" t="inlineStr">
        <is>
          <t>Anciano</t>
        </is>
      </c>
      <c r="G76" s="6" t="inlineStr">
        <is>
          <t>1942-05-26</t>
        </is>
      </c>
      <c r="H76" s="5" t="inlineStr">
        <is>
          <t>CAJACOPI</t>
        </is>
      </c>
      <c r="I76" s="6" t="inlineStr">
        <is>
          <t>3985334937</t>
        </is>
      </c>
      <c r="J76" s="6" t="inlineStr">
        <is>
          <t>3911599149</t>
        </is>
      </c>
      <c r="K76" s="6" t="inlineStr">
        <is>
          <t>12:41:00</t>
        </is>
      </c>
      <c r="L76" s="5" t="inlineStr">
        <is>
          <t>Fractura con compromiso vascular</t>
        </is>
      </c>
      <c r="M76" s="7" t="inlineStr">
        <is>
          <t>T3 · AMARILLO</t>
        </is>
      </c>
      <c r="N76" s="6" t="n">
        <v>35</v>
      </c>
      <c r="O76" s="6" t="n">
        <v>26</v>
      </c>
      <c r="P76" s="5" t="inlineStr">
        <is>
          <t>Sofía Torres</t>
        </is>
      </c>
    </row>
    <row r="77">
      <c r="A77" s="4" t="n">
        <v>123</v>
      </c>
      <c r="B77" s="5" t="inlineStr">
        <is>
          <t>Isabella López Ríos</t>
        </is>
      </c>
      <c r="C77" s="6" t="inlineStr">
        <is>
          <t>82255014</t>
        </is>
      </c>
      <c r="D77" s="6" t="inlineStr">
        <is>
          <t>F</t>
        </is>
      </c>
      <c r="E77" s="6" t="n">
        <v>86</v>
      </c>
      <c r="F77" s="6" t="inlineStr">
        <is>
          <t>Anciano</t>
        </is>
      </c>
      <c r="G77" s="6" t="inlineStr">
        <is>
          <t>1940-05-26</t>
        </is>
      </c>
      <c r="H77" s="5" t="inlineStr">
        <is>
          <t>COOMEVA</t>
        </is>
      </c>
      <c r="I77" s="6" t="inlineStr">
        <is>
          <t>3407772525</t>
        </is>
      </c>
      <c r="J77" s="6" t="inlineStr">
        <is>
          <t>3246238032</t>
        </is>
      </c>
      <c r="K77" s="6" t="inlineStr">
        <is>
          <t>12:47:00</t>
        </is>
      </c>
      <c r="L77" s="5" t="inlineStr">
        <is>
          <t>Fiebre alta con convulsión</t>
        </is>
      </c>
      <c r="M77" s="8" t="inlineStr">
        <is>
          <t>T4 · VERDE</t>
        </is>
      </c>
      <c r="N77" s="6" t="n">
        <v>25</v>
      </c>
      <c r="O77" s="6" t="n">
        <v>4</v>
      </c>
      <c r="P77" s="5" t="inlineStr">
        <is>
          <t>Felipe Herrera</t>
        </is>
      </c>
    </row>
    <row r="78">
      <c r="A78" s="4" t="n">
        <v>54</v>
      </c>
      <c r="B78" s="5" t="inlineStr">
        <is>
          <t>Felipe Gómez Bernal</t>
        </is>
      </c>
      <c r="C78" s="6" t="inlineStr">
        <is>
          <t>17583663</t>
        </is>
      </c>
      <c r="D78" s="6" t="inlineStr">
        <is>
          <t>M</t>
        </is>
      </c>
      <c r="E78" s="6" t="n">
        <v>5</v>
      </c>
      <c r="F78" s="6" t="inlineStr">
        <is>
          <t>Infante</t>
        </is>
      </c>
      <c r="G78" s="6" t="inlineStr">
        <is>
          <t>2021-05-26</t>
        </is>
      </c>
      <c r="H78" s="5" t="inlineStr">
        <is>
          <t>SALUD TOTAL</t>
        </is>
      </c>
      <c r="I78" s="6" t="inlineStr">
        <is>
          <t>3104061744</t>
        </is>
      </c>
      <c r="J78" s="6" t="inlineStr">
        <is>
          <t>3938191672</t>
        </is>
      </c>
      <c r="K78" s="6" t="inlineStr">
        <is>
          <t>12:55:00</t>
        </is>
      </c>
      <c r="L78" s="5" t="inlineStr">
        <is>
          <t>Herida con sangrado moderado</t>
        </is>
      </c>
      <c r="M78" s="8" t="inlineStr">
        <is>
          <t>T4 · VERDE</t>
        </is>
      </c>
      <c r="N78" s="6" t="n">
        <v>20</v>
      </c>
      <c r="O78" s="6" t="n">
        <v>56</v>
      </c>
      <c r="P78" s="5" t="inlineStr">
        <is>
          <t>Andrés Martínez</t>
        </is>
      </c>
    </row>
    <row r="79">
      <c r="A79" s="4" t="n">
        <v>22</v>
      </c>
      <c r="B79" s="5" t="inlineStr">
        <is>
          <t>Santiago Muñoz Ramírez</t>
        </is>
      </c>
      <c r="C79" s="6" t="inlineStr">
        <is>
          <t>48758633</t>
        </is>
      </c>
      <c r="D79" s="6" t="inlineStr">
        <is>
          <t>M</t>
        </is>
      </c>
      <c r="E79" s="6" t="n">
        <v>72</v>
      </c>
      <c r="F79" s="6" t="inlineStr">
        <is>
          <t>Adulto mayor</t>
        </is>
      </c>
      <c r="G79" s="6" t="inlineStr">
        <is>
          <t>1954-05-26</t>
        </is>
      </c>
      <c r="H79" s="5" t="inlineStr">
        <is>
          <t>COMPENSAR</t>
        </is>
      </c>
      <c r="I79" s="6" t="inlineStr">
        <is>
          <t>3925358834</t>
        </is>
      </c>
      <c r="J79" s="6" t="inlineStr">
        <is>
          <t>3302576328</t>
        </is>
      </c>
      <c r="K79" s="6" t="inlineStr">
        <is>
          <t>12:58:00</t>
        </is>
      </c>
      <c r="L79" s="5" t="inlineStr">
        <is>
          <t>ACV / Derrame cerebral</t>
        </is>
      </c>
      <c r="M79" s="11" t="inlineStr">
        <is>
          <t>T2 · NARANJA</t>
        </is>
      </c>
      <c r="N79" s="6" t="n">
        <v>50</v>
      </c>
      <c r="O79" s="6" t="n">
        <v>6</v>
      </c>
      <c r="P79" s="5" t="inlineStr">
        <is>
          <t>Laura Gómez</t>
        </is>
      </c>
    </row>
    <row r="80">
      <c r="A80" s="4" t="n">
        <v>99</v>
      </c>
      <c r="B80" s="5" t="inlineStr">
        <is>
          <t>Mariana Sánchez Ospina</t>
        </is>
      </c>
      <c r="C80" s="6" t="inlineStr">
        <is>
          <t>50335809</t>
        </is>
      </c>
      <c r="D80" s="6" t="inlineStr">
        <is>
          <t>F</t>
        </is>
      </c>
      <c r="E80" s="6" t="n">
        <v>79</v>
      </c>
      <c r="F80" s="6" t="inlineStr">
        <is>
          <t>Anciano</t>
        </is>
      </c>
      <c r="G80" s="6" t="inlineStr">
        <is>
          <t>1947-05-26</t>
        </is>
      </c>
      <c r="H80" s="5" t="inlineStr">
        <is>
          <t>FAMISANAR</t>
        </is>
      </c>
      <c r="I80" s="6" t="inlineStr">
        <is>
          <t>3644247330</t>
        </is>
      </c>
      <c r="J80" s="6" t="inlineStr">
        <is>
          <t>3673054126</t>
        </is>
      </c>
      <c r="K80" s="6" t="inlineStr">
        <is>
          <t>13:06:00</t>
        </is>
      </c>
      <c r="L80" s="5" t="inlineStr">
        <is>
          <t>Dificultad respiratoria severa</t>
        </is>
      </c>
      <c r="M80" s="11" t="inlineStr">
        <is>
          <t>T2 · NARANJA</t>
        </is>
      </c>
      <c r="N80" s="6" t="n">
        <v>45</v>
      </c>
      <c r="O80" s="6" t="n">
        <v>38</v>
      </c>
      <c r="P80" s="5" t="inlineStr">
        <is>
          <t>Carlos Ramírez</t>
        </is>
      </c>
    </row>
    <row r="81">
      <c r="A81" s="4" t="n">
        <v>36</v>
      </c>
      <c r="B81" s="5" t="inlineStr">
        <is>
          <t>Carlos Bernal Cruz</t>
        </is>
      </c>
      <c r="C81" s="6" t="inlineStr">
        <is>
          <t>19373572</t>
        </is>
      </c>
      <c r="D81" s="6" t="inlineStr">
        <is>
          <t>M</t>
        </is>
      </c>
      <c r="E81" s="6" t="n">
        <v>29</v>
      </c>
      <c r="F81" s="6" t="inlineStr">
        <is>
          <t>Adulto</t>
        </is>
      </c>
      <c r="G81" s="6" t="inlineStr">
        <is>
          <t>1997-05-26</t>
        </is>
      </c>
      <c r="H81" s="5" t="inlineStr">
        <is>
          <t>FAMISANAR</t>
        </is>
      </c>
      <c r="I81" s="6" t="inlineStr">
        <is>
          <t>3675232601</t>
        </is>
      </c>
      <c r="J81" s="6" t="inlineStr">
        <is>
          <t>3745243953</t>
        </is>
      </c>
      <c r="K81" s="6" t="inlineStr">
        <is>
          <t>13:14:00</t>
        </is>
      </c>
      <c r="L81" s="5" t="inlineStr">
        <is>
          <t>Fiebre alta con convulsión</t>
        </is>
      </c>
      <c r="M81" s="8" t="inlineStr">
        <is>
          <t>T4 · VERDE</t>
        </is>
      </c>
      <c r="N81" s="6" t="n">
        <v>25</v>
      </c>
      <c r="O81" s="6" t="n">
        <v>108</v>
      </c>
      <c r="P81" s="5" t="inlineStr">
        <is>
          <t>Felipe Herrera</t>
        </is>
      </c>
    </row>
    <row r="82">
      <c r="A82" s="4" t="n">
        <v>144</v>
      </c>
      <c r="B82" s="5" t="inlineStr">
        <is>
          <t>Alejandro Herrera Vargas</t>
        </is>
      </c>
      <c r="C82" s="6" t="inlineStr">
        <is>
          <t>75996637</t>
        </is>
      </c>
      <c r="D82" s="6" t="inlineStr">
        <is>
          <t>M</t>
        </is>
      </c>
      <c r="E82" s="6" t="n">
        <v>34</v>
      </c>
      <c r="F82" s="6" t="inlineStr">
        <is>
          <t>Adulto</t>
        </is>
      </c>
      <c r="G82" s="6" t="inlineStr">
        <is>
          <t>1992-05-26</t>
        </is>
      </c>
      <c r="H82" s="5" t="inlineStr">
        <is>
          <t>NUEVA EPS</t>
        </is>
      </c>
      <c r="I82" s="6" t="inlineStr">
        <is>
          <t>3734320785</t>
        </is>
      </c>
      <c r="J82" s="6" t="inlineStr">
        <is>
          <t>3135171783</t>
        </is>
      </c>
      <c r="K82" s="6" t="inlineStr">
        <is>
          <t>13:15:00</t>
        </is>
      </c>
      <c r="L82" s="5" t="inlineStr">
        <is>
          <t>Fiebre alta con convulsión</t>
        </is>
      </c>
      <c r="M82" s="8" t="inlineStr">
        <is>
          <t>T4 · VERDE</t>
        </is>
      </c>
      <c r="N82" s="6" t="n">
        <v>25</v>
      </c>
      <c r="O82" s="6" t="n">
        <v>79</v>
      </c>
      <c r="P82" s="5" t="inlineStr">
        <is>
          <t>Sofía Torres</t>
        </is>
      </c>
    </row>
    <row r="83">
      <c r="A83" s="4" t="n">
        <v>68</v>
      </c>
      <c r="B83" s="5" t="inlineStr">
        <is>
          <t>Alejandra Gómez Rodríguez</t>
        </is>
      </c>
      <c r="C83" s="6" t="inlineStr">
        <is>
          <t>34118675</t>
        </is>
      </c>
      <c r="D83" s="6" t="inlineStr">
        <is>
          <t>F</t>
        </is>
      </c>
      <c r="E83" s="6" t="n">
        <v>54</v>
      </c>
      <c r="F83" s="6" t="inlineStr">
        <is>
          <t>Adulto</t>
        </is>
      </c>
      <c r="G83" s="6" t="inlineStr">
        <is>
          <t>1972-05-26</t>
        </is>
      </c>
      <c r="H83" s="5" t="inlineStr">
        <is>
          <t>FAMISANAR</t>
        </is>
      </c>
      <c r="I83" s="6" t="inlineStr">
        <is>
          <t>3861716552</t>
        </is>
      </c>
      <c r="J83" s="6" t="inlineStr">
        <is>
          <t>3914630924</t>
        </is>
      </c>
      <c r="K83" s="6" t="inlineStr">
        <is>
          <t>13:22:00</t>
        </is>
      </c>
      <c r="L83" s="5" t="inlineStr">
        <is>
          <t>Consulta menor (gripe, tos)</t>
        </is>
      </c>
      <c r="M83" s="10" t="inlineStr">
        <is>
          <t>T5 · AZUL</t>
        </is>
      </c>
      <c r="N83" s="6" t="n">
        <v>10</v>
      </c>
      <c r="O83" s="6" t="n">
        <v>22</v>
      </c>
      <c r="P83" s="5" t="inlineStr">
        <is>
          <t>Andrés Martínez</t>
        </is>
      </c>
    </row>
    <row r="84">
      <c r="A84" s="4" t="n">
        <v>118</v>
      </c>
      <c r="B84" s="5" t="inlineStr">
        <is>
          <t>Andrés Ríos Castro</t>
        </is>
      </c>
      <c r="C84" s="6" t="inlineStr">
        <is>
          <t>53425503</t>
        </is>
      </c>
      <c r="D84" s="6" t="inlineStr">
        <is>
          <t>M</t>
        </is>
      </c>
      <c r="E84" s="6" t="n">
        <v>1</v>
      </c>
      <c r="F84" s="6" t="inlineStr">
        <is>
          <t>Neonato</t>
        </is>
      </c>
      <c r="G84" s="6" t="inlineStr">
        <is>
          <t>2025-05-26</t>
        </is>
      </c>
      <c r="H84" s="5" t="inlineStr">
        <is>
          <t>MEDIMAS</t>
        </is>
      </c>
      <c r="I84" s="6" t="inlineStr">
        <is>
          <t>3637425257</t>
        </is>
      </c>
      <c r="J84" s="6" t="inlineStr">
        <is>
          <t>3245617805</t>
        </is>
      </c>
      <c r="K84" s="6" t="inlineStr">
        <is>
          <t>13:27:00</t>
        </is>
      </c>
      <c r="L84" s="5" t="inlineStr">
        <is>
          <t>ACV / Derrame cerebral</t>
        </is>
      </c>
      <c r="M84" s="11" t="inlineStr">
        <is>
          <t>T2 · NARANJA</t>
        </is>
      </c>
      <c r="N84" s="6" t="n">
        <v>50</v>
      </c>
      <c r="O84" s="6" t="n">
        <v>109</v>
      </c>
      <c r="P84" s="5" t="inlineStr">
        <is>
          <t>Laura Gómez</t>
        </is>
      </c>
    </row>
    <row r="85">
      <c r="A85" s="4" t="n">
        <v>130</v>
      </c>
      <c r="B85" s="5" t="inlineStr">
        <is>
          <t>Juliana Alvarado Bernal</t>
        </is>
      </c>
      <c r="C85" s="6" t="inlineStr">
        <is>
          <t>35294125</t>
        </is>
      </c>
      <c r="D85" s="6" t="inlineStr">
        <is>
          <t>F</t>
        </is>
      </c>
      <c r="E85" s="6" t="n">
        <v>9</v>
      </c>
      <c r="F85" s="6" t="inlineStr">
        <is>
          <t>Menor de edad</t>
        </is>
      </c>
      <c r="G85" s="6" t="inlineStr">
        <is>
          <t>2017-05-26</t>
        </is>
      </c>
      <c r="H85" s="5" t="inlineStr">
        <is>
          <t>COOMEVA</t>
        </is>
      </c>
      <c r="I85" s="6" t="inlineStr">
        <is>
          <t>3947156178</t>
        </is>
      </c>
      <c r="J85" s="6" t="inlineStr">
        <is>
          <t>3481094666</t>
        </is>
      </c>
      <c r="K85" s="6" t="inlineStr">
        <is>
          <t>13:34:00</t>
        </is>
      </c>
      <c r="L85" s="5" t="inlineStr">
        <is>
          <t>Paro cardiorrespiratorio</t>
        </is>
      </c>
      <c r="M85" s="9" t="inlineStr">
        <is>
          <t>T1 · ROJO</t>
        </is>
      </c>
      <c r="N85" s="6" t="n">
        <v>60</v>
      </c>
      <c r="O85" s="6" t="n">
        <v>93</v>
      </c>
      <c r="P85" s="5" t="inlineStr">
        <is>
          <t>Felipe Herrera</t>
        </is>
      </c>
    </row>
    <row r="86">
      <c r="A86" s="4" t="n">
        <v>30</v>
      </c>
      <c r="B86" s="5" t="inlineStr">
        <is>
          <t>Sofía Alvarado Bernal</t>
        </is>
      </c>
      <c r="C86" s="6" t="inlineStr">
        <is>
          <t>59629084</t>
        </is>
      </c>
      <c r="D86" s="6" t="inlineStr">
        <is>
          <t>F</t>
        </is>
      </c>
      <c r="E86" s="6" t="n">
        <v>57</v>
      </c>
      <c r="F86" s="6" t="inlineStr">
        <is>
          <t>Adulto</t>
        </is>
      </c>
      <c r="G86" s="6" t="inlineStr">
        <is>
          <t>1969-05-26</t>
        </is>
      </c>
      <c r="H86" s="5" t="inlineStr">
        <is>
          <t>SURA</t>
        </is>
      </c>
      <c r="I86" s="6" t="inlineStr">
        <is>
          <t>3449911534</t>
        </is>
      </c>
      <c r="J86" s="6" t="inlineStr">
        <is>
          <t>3412080851</t>
        </is>
      </c>
      <c r="K86" s="6" t="inlineStr">
        <is>
          <t>13:36:00</t>
        </is>
      </c>
      <c r="L86" s="5" t="inlineStr">
        <is>
          <t>Herida con sangrado moderado</t>
        </is>
      </c>
      <c r="M86" s="8" t="inlineStr">
        <is>
          <t>T4 · VERDE</t>
        </is>
      </c>
      <c r="N86" s="6" t="n">
        <v>20</v>
      </c>
      <c r="O86" s="6" t="n">
        <v>41</v>
      </c>
      <c r="P86" s="5" t="inlineStr">
        <is>
          <t>Andrés Martínez</t>
        </is>
      </c>
    </row>
    <row r="87">
      <c r="A87" s="4" t="n">
        <v>93</v>
      </c>
      <c r="B87" s="5" t="inlineStr">
        <is>
          <t>Paula López Sánchez</t>
        </is>
      </c>
      <c r="C87" s="6" t="inlineStr">
        <is>
          <t>39121302</t>
        </is>
      </c>
      <c r="D87" s="6" t="inlineStr">
        <is>
          <t>F</t>
        </is>
      </c>
      <c r="E87" s="6" t="n">
        <v>82</v>
      </c>
      <c r="F87" s="6" t="inlineStr">
        <is>
          <t>Anciano</t>
        </is>
      </c>
      <c r="G87" s="6" t="inlineStr">
        <is>
          <t>1944-05-26</t>
        </is>
      </c>
      <c r="H87" s="5" t="inlineStr">
        <is>
          <t>ALIANSALUD</t>
        </is>
      </c>
      <c r="I87" s="6" t="inlineStr">
        <is>
          <t>3536177634</t>
        </is>
      </c>
      <c r="J87" s="6" t="inlineStr">
        <is>
          <t>3673058353</t>
        </is>
      </c>
      <c r="K87" s="6" t="inlineStr">
        <is>
          <t>13:38:00</t>
        </is>
      </c>
      <c r="L87" s="5" t="inlineStr">
        <is>
          <t>Fiebre alta con convulsión</t>
        </is>
      </c>
      <c r="M87" s="8" t="inlineStr">
        <is>
          <t>T4 · VERDE</t>
        </is>
      </c>
      <c r="N87" s="6" t="n">
        <v>25</v>
      </c>
      <c r="O87" s="6" t="n">
        <v>25</v>
      </c>
      <c r="P87" s="5" t="inlineStr">
        <is>
          <t>Sofía Torres</t>
        </is>
      </c>
    </row>
    <row r="88">
      <c r="A88" s="4" t="n">
        <v>82</v>
      </c>
      <c r="B88" s="5" t="inlineStr">
        <is>
          <t>Mariana Ramírez Medina</t>
        </is>
      </c>
      <c r="C88" s="6" t="inlineStr">
        <is>
          <t>40198616</t>
        </is>
      </c>
      <c r="D88" s="6" t="inlineStr">
        <is>
          <t>F</t>
        </is>
      </c>
      <c r="E88" s="6" t="n">
        <v>4</v>
      </c>
      <c r="F88" s="6" t="inlineStr">
        <is>
          <t>Infante</t>
        </is>
      </c>
      <c r="G88" s="6" t="inlineStr">
        <is>
          <t>2022-05-26</t>
        </is>
      </c>
      <c r="H88" s="5" t="inlineStr">
        <is>
          <t>COOMEVA</t>
        </is>
      </c>
      <c r="I88" s="6" t="inlineStr">
        <is>
          <t>3992066298</t>
        </is>
      </c>
      <c r="J88" s="6" t="inlineStr">
        <is>
          <t>3849040478</t>
        </is>
      </c>
      <c r="K88" s="6" t="inlineStr">
        <is>
          <t>13:39:00</t>
        </is>
      </c>
      <c r="L88" s="5" t="inlineStr">
        <is>
          <t>Dificultad respiratoria severa</t>
        </is>
      </c>
      <c r="M88" s="11" t="inlineStr">
        <is>
          <t>T2 · NARANJA</t>
        </is>
      </c>
      <c r="N88" s="6" t="n">
        <v>45</v>
      </c>
      <c r="O88" s="6" t="n">
        <v>40</v>
      </c>
      <c r="P88" s="5" t="inlineStr">
        <is>
          <t>Sofía Torres</t>
        </is>
      </c>
    </row>
    <row r="89">
      <c r="A89" s="4" t="n">
        <v>51</v>
      </c>
      <c r="B89" s="5" t="inlineStr">
        <is>
          <t>Felipe Sánchez Vargas</t>
        </is>
      </c>
      <c r="C89" s="6" t="inlineStr">
        <is>
          <t>50232081</t>
        </is>
      </c>
      <c r="D89" s="6" t="inlineStr">
        <is>
          <t>M</t>
        </is>
      </c>
      <c r="E89" s="6" t="n">
        <v>29</v>
      </c>
      <c r="F89" s="6" t="inlineStr">
        <is>
          <t>Adulto</t>
        </is>
      </c>
      <c r="G89" s="6" t="inlineStr">
        <is>
          <t>1997-05-26</t>
        </is>
      </c>
      <c r="H89" s="5" t="inlineStr">
        <is>
          <t>NUEVA EPS</t>
        </is>
      </c>
      <c r="I89" s="6" t="inlineStr">
        <is>
          <t>3298778907</t>
        </is>
      </c>
      <c r="J89" s="6" t="inlineStr">
        <is>
          <t>3695657796</t>
        </is>
      </c>
      <c r="K89" s="6" t="inlineStr">
        <is>
          <t>13:42:00</t>
        </is>
      </c>
      <c r="L89" s="5" t="inlineStr">
        <is>
          <t>ACV / Derrame cerebral</t>
        </is>
      </c>
      <c r="M89" s="11" t="inlineStr">
        <is>
          <t>T2 · NARANJA</t>
        </is>
      </c>
      <c r="N89" s="6" t="n">
        <v>50</v>
      </c>
      <c r="O89" s="6" t="n">
        <v>47</v>
      </c>
      <c r="P89" s="5" t="inlineStr">
        <is>
          <t>Laura Gómez</t>
        </is>
      </c>
    </row>
    <row r="90">
      <c r="A90" s="4" t="n">
        <v>47</v>
      </c>
      <c r="B90" s="5" t="inlineStr">
        <is>
          <t>Andrés Ramírez Medina</t>
        </is>
      </c>
      <c r="C90" s="6" t="inlineStr">
        <is>
          <t>12093357</t>
        </is>
      </c>
      <c r="D90" s="6" t="inlineStr">
        <is>
          <t>M</t>
        </is>
      </c>
      <c r="E90" s="6" t="n">
        <v>51</v>
      </c>
      <c r="F90" s="6" t="inlineStr">
        <is>
          <t>Adulto</t>
        </is>
      </c>
      <c r="G90" s="6" t="inlineStr">
        <is>
          <t>1975-05-26</t>
        </is>
      </c>
      <c r="H90" s="5" t="inlineStr">
        <is>
          <t>ALIANSALUD</t>
        </is>
      </c>
      <c r="I90" s="6" t="inlineStr">
        <is>
          <t>3383611593</t>
        </is>
      </c>
      <c r="J90" s="6" t="inlineStr">
        <is>
          <t>3918238034</t>
        </is>
      </c>
      <c r="K90" s="6" t="inlineStr">
        <is>
          <t>13:57:00</t>
        </is>
      </c>
      <c r="L90" s="5" t="inlineStr">
        <is>
          <t>Fractura con compromiso vascular</t>
        </is>
      </c>
      <c r="M90" s="7" t="inlineStr">
        <is>
          <t>T3 · AMARILLO</t>
        </is>
      </c>
      <c r="N90" s="6" t="n">
        <v>35</v>
      </c>
      <c r="O90" s="6" t="n">
        <v>27</v>
      </c>
      <c r="P90" s="5" t="inlineStr">
        <is>
          <t>Carlos Ramírez</t>
        </is>
      </c>
    </row>
    <row r="91">
      <c r="A91" s="4" t="n">
        <v>71</v>
      </c>
      <c r="B91" s="5" t="inlineStr">
        <is>
          <t>María Reyes Pardo</t>
        </is>
      </c>
      <c r="C91" s="6" t="inlineStr">
        <is>
          <t>79661778</t>
        </is>
      </c>
      <c r="D91" s="6" t="inlineStr">
        <is>
          <t>F</t>
        </is>
      </c>
      <c r="E91" s="6" t="n">
        <v>50</v>
      </c>
      <c r="F91" s="6" t="inlineStr">
        <is>
          <t>Adulto</t>
        </is>
      </c>
      <c r="G91" s="6" t="inlineStr">
        <is>
          <t>1976-05-26</t>
        </is>
      </c>
      <c r="H91" s="5" t="inlineStr">
        <is>
          <t>SALUD TOTAL</t>
        </is>
      </c>
      <c r="I91" s="6" t="inlineStr">
        <is>
          <t>3872823921</t>
        </is>
      </c>
      <c r="J91" s="6" t="inlineStr">
        <is>
          <t>3272146634</t>
        </is>
      </c>
      <c r="K91" s="6" t="inlineStr">
        <is>
          <t>13:58:00</t>
        </is>
      </c>
      <c r="L91" s="5" t="inlineStr">
        <is>
          <t>Dolor abdominal agudo</t>
        </is>
      </c>
      <c r="M91" s="7" t="inlineStr">
        <is>
          <t>T3 · AMARILLO</t>
        </is>
      </c>
      <c r="N91" s="6" t="n">
        <v>30</v>
      </c>
      <c r="O91" s="6" t="n">
        <v>96</v>
      </c>
      <c r="P91" s="5" t="inlineStr">
        <is>
          <t>Laura Gómez</t>
        </is>
      </c>
    </row>
    <row r="92">
      <c r="A92" s="4" t="n">
        <v>60</v>
      </c>
      <c r="B92" s="5" t="inlineStr">
        <is>
          <t>Daniela Moreno Ospina</t>
        </is>
      </c>
      <c r="C92" s="6" t="inlineStr">
        <is>
          <t>96513421</t>
        </is>
      </c>
      <c r="D92" s="6" t="inlineStr">
        <is>
          <t>F</t>
        </is>
      </c>
      <c r="E92" s="6" t="n">
        <v>55</v>
      </c>
      <c r="F92" s="6" t="inlineStr">
        <is>
          <t>Adulto</t>
        </is>
      </c>
      <c r="G92" s="6" t="inlineStr">
        <is>
          <t>1971-05-26</t>
        </is>
      </c>
      <c r="H92" s="5" t="inlineStr">
        <is>
          <t>NUEVA EPS</t>
        </is>
      </c>
      <c r="I92" s="6" t="inlineStr">
        <is>
          <t>3647259386</t>
        </is>
      </c>
      <c r="J92" s="6" t="inlineStr">
        <is>
          <t>3981059271</t>
        </is>
      </c>
      <c r="K92" s="6" t="inlineStr">
        <is>
          <t>14:00:00</t>
        </is>
      </c>
      <c r="L92" s="5" t="inlineStr">
        <is>
          <t>Paro cardiorrespiratorio</t>
        </is>
      </c>
      <c r="M92" s="9" t="inlineStr">
        <is>
          <t>T1 · ROJO</t>
        </is>
      </c>
      <c r="N92" s="6" t="n">
        <v>60</v>
      </c>
      <c r="O92" s="6" t="n">
        <v>42</v>
      </c>
      <c r="P92" s="5" t="inlineStr">
        <is>
          <t>Carlos Ramírez</t>
        </is>
      </c>
    </row>
    <row r="93">
      <c r="A93" s="4" t="n">
        <v>74</v>
      </c>
      <c r="B93" s="5" t="inlineStr">
        <is>
          <t>Alejandro Pardo Pardo</t>
        </is>
      </c>
      <c r="C93" s="6" t="inlineStr">
        <is>
          <t>39799648</t>
        </is>
      </c>
      <c r="D93" s="6" t="inlineStr">
        <is>
          <t>M</t>
        </is>
      </c>
      <c r="E93" s="6" t="n">
        <v>65</v>
      </c>
      <c r="F93" s="6" t="inlineStr">
        <is>
          <t>Adulto mayor</t>
        </is>
      </c>
      <c r="G93" s="6" t="inlineStr">
        <is>
          <t>1961-05-26</t>
        </is>
      </c>
      <c r="H93" s="5" t="inlineStr">
        <is>
          <t>FAMISANAR</t>
        </is>
      </c>
      <c r="I93" s="6" t="inlineStr">
        <is>
          <t>3683902862</t>
        </is>
      </c>
      <c r="J93" s="6" t="inlineStr">
        <is>
          <t>3376103877</t>
        </is>
      </c>
      <c r="K93" s="6" t="inlineStr">
        <is>
          <t>14:03:00</t>
        </is>
      </c>
      <c r="L93" s="5" t="inlineStr">
        <is>
          <t>Fiebre alta con convulsión</t>
        </is>
      </c>
      <c r="M93" s="8" t="inlineStr">
        <is>
          <t>T4 · VERDE</t>
        </is>
      </c>
      <c r="N93" s="6" t="n">
        <v>25</v>
      </c>
      <c r="O93" s="6" t="n">
        <v>60</v>
      </c>
      <c r="P93" s="5" t="inlineStr">
        <is>
          <t>Andrés Martínez</t>
        </is>
      </c>
    </row>
    <row r="94">
      <c r="A94" s="4" t="n">
        <v>104</v>
      </c>
      <c r="B94" s="5" t="inlineStr">
        <is>
          <t>Valentina Ríos Rodríguez</t>
        </is>
      </c>
      <c r="C94" s="6" t="inlineStr">
        <is>
          <t>72539092</t>
        </is>
      </c>
      <c r="D94" s="6" t="inlineStr">
        <is>
          <t>F</t>
        </is>
      </c>
      <c r="E94" s="6" t="n">
        <v>40</v>
      </c>
      <c r="F94" s="6" t="inlineStr">
        <is>
          <t>Adulto</t>
        </is>
      </c>
      <c r="G94" s="6" t="inlineStr">
        <is>
          <t>1986-05-26</t>
        </is>
      </c>
      <c r="H94" s="5" t="inlineStr">
        <is>
          <t>CAJACOPI</t>
        </is>
      </c>
      <c r="I94" s="6" t="inlineStr">
        <is>
          <t>3349099345</t>
        </is>
      </c>
      <c r="J94" s="6" t="inlineStr">
        <is>
          <t>3432977232</t>
        </is>
      </c>
      <c r="K94" s="6" t="inlineStr">
        <is>
          <t>14:03:00</t>
        </is>
      </c>
      <c r="L94" s="5" t="inlineStr">
        <is>
          <t>Dolor abdominal agudo</t>
        </is>
      </c>
      <c r="M94" s="7" t="inlineStr">
        <is>
          <t>T3 · AMARILLO</t>
        </is>
      </c>
      <c r="N94" s="6" t="n">
        <v>30</v>
      </c>
      <c r="O94" s="6" t="n">
        <v>57</v>
      </c>
      <c r="P94" s="5" t="inlineStr">
        <is>
          <t>Felipe Herrera</t>
        </is>
      </c>
    </row>
    <row r="95">
      <c r="A95" s="4" t="n">
        <v>128</v>
      </c>
      <c r="B95" s="5" t="inlineStr">
        <is>
          <t>Luis Martínez Ospina</t>
        </is>
      </c>
      <c r="C95" s="6" t="inlineStr">
        <is>
          <t>22804363</t>
        </is>
      </c>
      <c r="D95" s="6" t="inlineStr">
        <is>
          <t>M</t>
        </is>
      </c>
      <c r="E95" s="6" t="n">
        <v>77</v>
      </c>
      <c r="F95" s="6" t="inlineStr">
        <is>
          <t>Anciano</t>
        </is>
      </c>
      <c r="G95" s="6" t="inlineStr">
        <is>
          <t>1949-05-26</t>
        </is>
      </c>
      <c r="H95" s="5" t="inlineStr">
        <is>
          <t>COMPENSAR</t>
        </is>
      </c>
      <c r="I95" s="6" t="inlineStr">
        <is>
          <t>3291178913</t>
        </is>
      </c>
      <c r="J95" s="6" t="inlineStr">
        <is>
          <t>3479731416</t>
        </is>
      </c>
      <c r="K95" s="6" t="inlineStr">
        <is>
          <t>14:04:00</t>
        </is>
      </c>
      <c r="L95" s="5" t="inlineStr">
        <is>
          <t>Dolor leve / Malestar general</t>
        </is>
      </c>
      <c r="M95" s="10" t="inlineStr">
        <is>
          <t>T5 · AZUL</t>
        </is>
      </c>
      <c r="N95" s="6" t="n">
        <v>15</v>
      </c>
      <c r="O95" s="6" t="n">
        <v>107</v>
      </c>
      <c r="P95" s="5" t="inlineStr">
        <is>
          <t>Andrés Martínez</t>
        </is>
      </c>
    </row>
    <row r="96">
      <c r="A96" s="4" t="n">
        <v>33</v>
      </c>
      <c r="B96" s="5" t="inlineStr">
        <is>
          <t>Ana Medina Martínez</t>
        </is>
      </c>
      <c r="C96" s="6" t="inlineStr">
        <is>
          <t>89326642</t>
        </is>
      </c>
      <c r="D96" s="6" t="inlineStr">
        <is>
          <t>F</t>
        </is>
      </c>
      <c r="E96" s="6" t="n">
        <v>85</v>
      </c>
      <c r="F96" s="6" t="inlineStr">
        <is>
          <t>Anciano</t>
        </is>
      </c>
      <c r="G96" s="6" t="inlineStr">
        <is>
          <t>1941-05-26</t>
        </is>
      </c>
      <c r="H96" s="5" t="inlineStr">
        <is>
          <t>NUEVA EPS</t>
        </is>
      </c>
      <c r="I96" s="6" t="inlineStr">
        <is>
          <t>3822402814</t>
        </is>
      </c>
      <c r="J96" s="6" t="inlineStr">
        <is>
          <t>3913176010</t>
        </is>
      </c>
      <c r="K96" s="6" t="inlineStr">
        <is>
          <t>14:05:00</t>
        </is>
      </c>
      <c r="L96" s="5" t="inlineStr">
        <is>
          <t>Fractura con compromiso vascular</t>
        </is>
      </c>
      <c r="M96" s="7" t="inlineStr">
        <is>
          <t>T3 · AMARILLO</t>
        </is>
      </c>
      <c r="N96" s="6" t="n">
        <v>35</v>
      </c>
      <c r="O96" s="6" t="n">
        <v>89</v>
      </c>
      <c r="P96" s="5" t="inlineStr">
        <is>
          <t>Carlos Ramírez</t>
        </is>
      </c>
    </row>
    <row r="97">
      <c r="A97" s="4" t="n">
        <v>63</v>
      </c>
      <c r="B97" s="5" t="inlineStr">
        <is>
          <t>Camilo Moreno Ramírez</t>
        </is>
      </c>
      <c r="C97" s="6" t="inlineStr">
        <is>
          <t>55789685</t>
        </is>
      </c>
      <c r="D97" s="6" t="inlineStr">
        <is>
          <t>M</t>
        </is>
      </c>
      <c r="E97" s="6" t="n">
        <v>36</v>
      </c>
      <c r="F97" s="6" t="inlineStr">
        <is>
          <t>Adulto</t>
        </is>
      </c>
      <c r="G97" s="6" t="inlineStr">
        <is>
          <t>1990-05-26</t>
        </is>
      </c>
      <c r="H97" s="5" t="inlineStr">
        <is>
          <t>NUEVA EPS</t>
        </is>
      </c>
      <c r="I97" s="6" t="inlineStr">
        <is>
          <t>3942036803</t>
        </is>
      </c>
      <c r="J97" s="6" t="inlineStr">
        <is>
          <t>3291552665</t>
        </is>
      </c>
      <c r="K97" s="6" t="inlineStr">
        <is>
          <t>14:07:00</t>
        </is>
      </c>
      <c r="L97" s="5" t="inlineStr">
        <is>
          <t>Fiebre alta con convulsión</t>
        </is>
      </c>
      <c r="M97" s="8" t="inlineStr">
        <is>
          <t>T4 · VERDE</t>
        </is>
      </c>
      <c r="N97" s="6" t="n">
        <v>25</v>
      </c>
      <c r="O97" s="6" t="n">
        <v>21</v>
      </c>
      <c r="P97" s="5" t="inlineStr">
        <is>
          <t>Felipe Herrera</t>
        </is>
      </c>
    </row>
    <row r="98">
      <c r="A98" s="4" t="n">
        <v>41</v>
      </c>
      <c r="B98" s="5" t="inlineStr">
        <is>
          <t>Valentina Cruz Jiménez</t>
        </is>
      </c>
      <c r="C98" s="6" t="inlineStr">
        <is>
          <t>84810685</t>
        </is>
      </c>
      <c r="D98" s="6" t="inlineStr">
        <is>
          <t>F</t>
        </is>
      </c>
      <c r="E98" s="6" t="n">
        <v>20</v>
      </c>
      <c r="F98" s="6" t="inlineStr">
        <is>
          <t>Adulto</t>
        </is>
      </c>
      <c r="G98" s="6" t="inlineStr">
        <is>
          <t>2006-05-26</t>
        </is>
      </c>
      <c r="H98" s="5" t="inlineStr">
        <is>
          <t>COOMEVA</t>
        </is>
      </c>
      <c r="I98" s="6" t="inlineStr">
        <is>
          <t>3293152725</t>
        </is>
      </c>
      <c r="J98" s="6" t="inlineStr">
        <is>
          <t>3651768264</t>
        </is>
      </c>
      <c r="K98" s="6" t="inlineStr">
        <is>
          <t>14:16:00</t>
        </is>
      </c>
      <c r="L98" s="5" t="inlineStr">
        <is>
          <t>Fractura con compromiso vascular</t>
        </is>
      </c>
      <c r="M98" s="7" t="inlineStr">
        <is>
          <t>T3 · AMARILLO</t>
        </is>
      </c>
      <c r="N98" s="6" t="n">
        <v>35</v>
      </c>
      <c r="O98" s="6" t="n">
        <v>77</v>
      </c>
      <c r="P98" s="5" t="inlineStr">
        <is>
          <t>Felipe Herrera</t>
        </is>
      </c>
    </row>
    <row r="99">
      <c r="A99" s="4" t="n">
        <v>43</v>
      </c>
      <c r="B99" s="5" t="inlineStr">
        <is>
          <t>Carlos Ríos Moreno</t>
        </is>
      </c>
      <c r="C99" s="6" t="inlineStr">
        <is>
          <t>22411532</t>
        </is>
      </c>
      <c r="D99" s="6" t="inlineStr">
        <is>
          <t>M</t>
        </is>
      </c>
      <c r="E99" s="6" t="n">
        <v>54</v>
      </c>
      <c r="F99" s="6" t="inlineStr">
        <is>
          <t>Adulto</t>
        </is>
      </c>
      <c r="G99" s="6" t="inlineStr">
        <is>
          <t>1972-05-26</t>
        </is>
      </c>
      <c r="H99" s="5" t="inlineStr">
        <is>
          <t>FAMISANAR</t>
        </is>
      </c>
      <c r="I99" s="6" t="inlineStr">
        <is>
          <t>3234418854</t>
        </is>
      </c>
      <c r="J99" s="6" t="inlineStr">
        <is>
          <t>3553258447</t>
        </is>
      </c>
      <c r="K99" s="6" t="inlineStr">
        <is>
          <t>14:19:00</t>
        </is>
      </c>
      <c r="L99" s="5" t="inlineStr">
        <is>
          <t>Dolor abdominal agudo</t>
        </is>
      </c>
      <c r="M99" s="7" t="inlineStr">
        <is>
          <t>T3 · AMARILLO</t>
        </is>
      </c>
      <c r="N99" s="6" t="n">
        <v>30</v>
      </c>
      <c r="O99" s="6" t="n">
        <v>75</v>
      </c>
      <c r="P99" s="5" t="inlineStr">
        <is>
          <t>Sofía Torres</t>
        </is>
      </c>
    </row>
    <row r="100">
      <c r="A100" s="4" t="n">
        <v>42</v>
      </c>
      <c r="B100" s="5" t="inlineStr">
        <is>
          <t>Juan Castro Muñoz</t>
        </is>
      </c>
      <c r="C100" s="6" t="inlineStr">
        <is>
          <t>84902330</t>
        </is>
      </c>
      <c r="D100" s="6" t="inlineStr">
        <is>
          <t>M</t>
        </is>
      </c>
      <c r="E100" s="6" t="n">
        <v>34</v>
      </c>
      <c r="F100" s="6" t="inlineStr">
        <is>
          <t>Adulto</t>
        </is>
      </c>
      <c r="G100" s="6" t="inlineStr">
        <is>
          <t>1992-05-26</t>
        </is>
      </c>
      <c r="H100" s="5" t="inlineStr">
        <is>
          <t>FAMISANAR</t>
        </is>
      </c>
      <c r="I100" s="6" t="inlineStr">
        <is>
          <t>3146757323</t>
        </is>
      </c>
      <c r="J100" s="6" t="inlineStr">
        <is>
          <t>3644333012</t>
        </is>
      </c>
      <c r="K100" s="6" t="inlineStr">
        <is>
          <t>14:21:00</t>
        </is>
      </c>
      <c r="L100" s="5" t="inlineStr">
        <is>
          <t>Fractura con compromiso vascular</t>
        </is>
      </c>
      <c r="M100" s="7" t="inlineStr">
        <is>
          <t>T3 · AMARILLO</t>
        </is>
      </c>
      <c r="N100" s="6" t="n">
        <v>35</v>
      </c>
      <c r="O100" s="6" t="n">
        <v>93</v>
      </c>
      <c r="P100" s="5" t="inlineStr">
        <is>
          <t>Felipe Herrera</t>
        </is>
      </c>
    </row>
    <row r="101">
      <c r="A101" s="4" t="n">
        <v>135</v>
      </c>
      <c r="B101" s="5" t="inlineStr">
        <is>
          <t>Alejandra Morales Moreno</t>
        </is>
      </c>
      <c r="C101" s="6" t="inlineStr">
        <is>
          <t>84111638</t>
        </is>
      </c>
      <c r="D101" s="6" t="inlineStr">
        <is>
          <t>F</t>
        </is>
      </c>
      <c r="E101" s="6" t="n">
        <v>70</v>
      </c>
      <c r="F101" s="6" t="inlineStr">
        <is>
          <t>Adulto mayor</t>
        </is>
      </c>
      <c r="G101" s="6" t="inlineStr">
        <is>
          <t>1956-05-26</t>
        </is>
      </c>
      <c r="H101" s="5" t="inlineStr">
        <is>
          <t>SANITAS</t>
        </is>
      </c>
      <c r="I101" s="6" t="inlineStr">
        <is>
          <t>3442172316</t>
        </is>
      </c>
      <c r="J101" s="6" t="inlineStr">
        <is>
          <t>3853424248</t>
        </is>
      </c>
      <c r="K101" s="6" t="inlineStr">
        <is>
          <t>14:40:00</t>
        </is>
      </c>
      <c r="L101" s="5" t="inlineStr">
        <is>
          <t>Dolor leve / Malestar general</t>
        </is>
      </c>
      <c r="M101" s="10" t="inlineStr">
        <is>
          <t>T5 · AZUL</t>
        </is>
      </c>
      <c r="N101" s="6" t="n">
        <v>15</v>
      </c>
      <c r="O101" s="6" t="n">
        <v>120</v>
      </c>
      <c r="P101" s="5" t="inlineStr">
        <is>
          <t>Felipe Herrera</t>
        </is>
      </c>
    </row>
    <row r="102">
      <c r="A102" s="4" t="n">
        <v>110</v>
      </c>
      <c r="B102" s="5" t="inlineStr">
        <is>
          <t>Carlos Cruz Díaz</t>
        </is>
      </c>
      <c r="C102" s="6" t="inlineStr">
        <is>
          <t>25421478</t>
        </is>
      </c>
      <c r="D102" s="6" t="inlineStr">
        <is>
          <t>M</t>
        </is>
      </c>
      <c r="E102" s="6" t="n">
        <v>79</v>
      </c>
      <c r="F102" s="6" t="inlineStr">
        <is>
          <t>Anciano</t>
        </is>
      </c>
      <c r="G102" s="6" t="inlineStr">
        <is>
          <t>1947-05-26</t>
        </is>
      </c>
      <c r="H102" s="5" t="inlineStr">
        <is>
          <t>SANITAS</t>
        </is>
      </c>
      <c r="I102" s="6" t="inlineStr">
        <is>
          <t>3576064267</t>
        </is>
      </c>
      <c r="J102" s="6" t="inlineStr">
        <is>
          <t>3463909102</t>
        </is>
      </c>
      <c r="K102" s="6" t="inlineStr">
        <is>
          <t>14:42:00</t>
        </is>
      </c>
      <c r="L102" s="5" t="inlineStr">
        <is>
          <t>Fiebre alta con convulsión</t>
        </is>
      </c>
      <c r="M102" s="8" t="inlineStr">
        <is>
          <t>T4 · VERDE</t>
        </is>
      </c>
      <c r="N102" s="6" t="n">
        <v>25</v>
      </c>
      <c r="O102" s="6" t="n">
        <v>118</v>
      </c>
      <c r="P102" s="5" t="inlineStr">
        <is>
          <t>Carlos Ramírez</t>
        </is>
      </c>
    </row>
    <row r="103">
      <c r="A103" s="4" t="n">
        <v>39</v>
      </c>
      <c r="B103" s="5" t="inlineStr">
        <is>
          <t>Felipe Bernal Pardo</t>
        </is>
      </c>
      <c r="C103" s="6" t="inlineStr">
        <is>
          <t>51675385</t>
        </is>
      </c>
      <c r="D103" s="6" t="inlineStr">
        <is>
          <t>M</t>
        </is>
      </c>
      <c r="E103" s="6" t="n">
        <v>20</v>
      </c>
      <c r="F103" s="6" t="inlineStr">
        <is>
          <t>Adulto</t>
        </is>
      </c>
      <c r="G103" s="6" t="inlineStr">
        <is>
          <t>2006-05-26</t>
        </is>
      </c>
      <c r="H103" s="5" t="inlineStr">
        <is>
          <t>COMPENSAR</t>
        </is>
      </c>
      <c r="I103" s="6" t="inlineStr">
        <is>
          <t>3487786680</t>
        </is>
      </c>
      <c r="J103" s="6" t="inlineStr">
        <is>
          <t>3529454633</t>
        </is>
      </c>
      <c r="K103" s="6" t="inlineStr">
        <is>
          <t>14:44:00</t>
        </is>
      </c>
      <c r="L103" s="5" t="inlineStr">
        <is>
          <t>Dificultad respiratoria severa</t>
        </is>
      </c>
      <c r="M103" s="11" t="inlineStr">
        <is>
          <t>T2 · NARANJA</t>
        </is>
      </c>
      <c r="N103" s="6" t="n">
        <v>45</v>
      </c>
      <c r="O103" s="6" t="n">
        <v>41</v>
      </c>
      <c r="P103" s="5" t="inlineStr">
        <is>
          <t>Carlos Ramírez</t>
        </is>
      </c>
    </row>
    <row r="104">
      <c r="A104" s="4" t="n">
        <v>11</v>
      </c>
      <c r="B104" s="5" t="inlineStr">
        <is>
          <t>Claudia Medina Muñoz</t>
        </is>
      </c>
      <c r="C104" s="6" t="inlineStr">
        <is>
          <t>99632857</t>
        </is>
      </c>
      <c r="D104" s="6" t="inlineStr">
        <is>
          <t>F</t>
        </is>
      </c>
      <c r="E104" s="6" t="n">
        <v>20</v>
      </c>
      <c r="F104" s="6" t="inlineStr">
        <is>
          <t>Adulto</t>
        </is>
      </c>
      <c r="G104" s="6" t="inlineStr">
        <is>
          <t>2006-05-26</t>
        </is>
      </c>
      <c r="H104" s="5" t="inlineStr">
        <is>
          <t>CAJACOPI</t>
        </is>
      </c>
      <c r="I104" s="6" t="inlineStr">
        <is>
          <t>3102884620</t>
        </is>
      </c>
      <c r="J104" s="6" t="inlineStr">
        <is>
          <t>3749921258</t>
        </is>
      </c>
      <c r="K104" s="6" t="inlineStr">
        <is>
          <t>14:48:00</t>
        </is>
      </c>
      <c r="L104" s="5" t="inlineStr">
        <is>
          <t>Fractura con compromiso vascular</t>
        </is>
      </c>
      <c r="M104" s="7" t="inlineStr">
        <is>
          <t>T3 · AMARILLO</t>
        </is>
      </c>
      <c r="N104" s="6" t="n">
        <v>35</v>
      </c>
      <c r="O104" s="6" t="n">
        <v>52</v>
      </c>
      <c r="P104" s="5" t="inlineStr">
        <is>
          <t>Andrés Martínez</t>
        </is>
      </c>
    </row>
    <row r="105">
      <c r="A105" s="4" t="n">
        <v>72</v>
      </c>
      <c r="B105" s="5" t="inlineStr">
        <is>
          <t>Felipe Cruz Vargas</t>
        </is>
      </c>
      <c r="C105" s="6" t="inlineStr">
        <is>
          <t>80884678</t>
        </is>
      </c>
      <c r="D105" s="6" t="inlineStr">
        <is>
          <t>M</t>
        </is>
      </c>
      <c r="E105" s="6" t="n">
        <v>12</v>
      </c>
      <c r="F105" s="6" t="inlineStr">
        <is>
          <t>Menor de edad</t>
        </is>
      </c>
      <c r="G105" s="6" t="inlineStr">
        <is>
          <t>2014-05-26</t>
        </is>
      </c>
      <c r="H105" s="5" t="inlineStr">
        <is>
          <t>SANITAS</t>
        </is>
      </c>
      <c r="I105" s="6" t="inlineStr">
        <is>
          <t>3957060787</t>
        </is>
      </c>
      <c r="J105" s="6" t="inlineStr">
        <is>
          <t>3861876628</t>
        </is>
      </c>
      <c r="K105" s="6" t="inlineStr">
        <is>
          <t>14:48:00</t>
        </is>
      </c>
      <c r="L105" s="5" t="inlineStr">
        <is>
          <t>Fractura con compromiso vascular</t>
        </is>
      </c>
      <c r="M105" s="7" t="inlineStr">
        <is>
          <t>T3 · AMARILLO</t>
        </is>
      </c>
      <c r="N105" s="6" t="n">
        <v>35</v>
      </c>
      <c r="O105" s="6" t="n">
        <v>36</v>
      </c>
      <c r="P105" s="5" t="inlineStr">
        <is>
          <t>Sofía Torres</t>
        </is>
      </c>
    </row>
    <row r="106">
      <c r="A106" s="4" t="n">
        <v>133</v>
      </c>
      <c r="B106" s="5" t="inlineStr">
        <is>
          <t>Laura Cárdenas Herrera</t>
        </is>
      </c>
      <c r="C106" s="6" t="inlineStr">
        <is>
          <t>73004001</t>
        </is>
      </c>
      <c r="D106" s="6" t="inlineStr">
        <is>
          <t>F</t>
        </is>
      </c>
      <c r="E106" s="6" t="n">
        <v>27</v>
      </c>
      <c r="F106" s="6" t="inlineStr">
        <is>
          <t>Adulto</t>
        </is>
      </c>
      <c r="G106" s="6" t="inlineStr">
        <is>
          <t>1999-05-26</t>
        </is>
      </c>
      <c r="H106" s="5" t="inlineStr">
        <is>
          <t>CAJACOPI</t>
        </is>
      </c>
      <c r="I106" s="6" t="inlineStr">
        <is>
          <t>3426990690</t>
        </is>
      </c>
      <c r="J106" s="6" t="inlineStr">
        <is>
          <t>3274260315</t>
        </is>
      </c>
      <c r="K106" s="6" t="inlineStr">
        <is>
          <t>14:54:00</t>
        </is>
      </c>
      <c r="L106" s="5" t="inlineStr">
        <is>
          <t>Dolor abdominal agudo</t>
        </is>
      </c>
      <c r="M106" s="7" t="inlineStr">
        <is>
          <t>T3 · AMARILLO</t>
        </is>
      </c>
      <c r="N106" s="6" t="n">
        <v>30</v>
      </c>
      <c r="O106" s="6" t="n">
        <v>46</v>
      </c>
      <c r="P106" s="5" t="inlineStr">
        <is>
          <t>Sofía Torres</t>
        </is>
      </c>
    </row>
    <row r="107">
      <c r="A107" s="4" t="n">
        <v>52</v>
      </c>
      <c r="B107" s="5" t="inlineStr">
        <is>
          <t>Isabella Castro Bernal</t>
        </is>
      </c>
      <c r="C107" s="6" t="inlineStr">
        <is>
          <t>94773366</t>
        </is>
      </c>
      <c r="D107" s="6" t="inlineStr">
        <is>
          <t>F</t>
        </is>
      </c>
      <c r="E107" s="6" t="n">
        <v>21</v>
      </c>
      <c r="F107" s="6" t="inlineStr">
        <is>
          <t>Adulto</t>
        </is>
      </c>
      <c r="G107" s="6" t="inlineStr">
        <is>
          <t>2005-05-26</t>
        </is>
      </c>
      <c r="H107" s="5" t="inlineStr">
        <is>
          <t>SANITAS</t>
        </is>
      </c>
      <c r="I107" s="6" t="inlineStr">
        <is>
          <t>3694556706</t>
        </is>
      </c>
      <c r="J107" s="6" t="inlineStr">
        <is>
          <t>3742974935</t>
        </is>
      </c>
      <c r="K107" s="6" t="inlineStr">
        <is>
          <t>14:56:00</t>
        </is>
      </c>
      <c r="L107" s="5" t="inlineStr">
        <is>
          <t>Herida con sangrado moderado</t>
        </is>
      </c>
      <c r="M107" s="8" t="inlineStr">
        <is>
          <t>T4 · VERDE</t>
        </is>
      </c>
      <c r="N107" s="6" t="n">
        <v>20</v>
      </c>
      <c r="O107" s="6" t="n">
        <v>71</v>
      </c>
      <c r="P107" s="5" t="inlineStr">
        <is>
          <t>Felipe Herrera</t>
        </is>
      </c>
    </row>
    <row r="108">
      <c r="A108" s="4" t="n">
        <v>148</v>
      </c>
      <c r="B108" s="5" t="inlineStr">
        <is>
          <t>Fernanda Jiménez Jiménez</t>
        </is>
      </c>
      <c r="C108" s="6" t="inlineStr">
        <is>
          <t>73959330</t>
        </is>
      </c>
      <c r="D108" s="6" t="inlineStr">
        <is>
          <t>F</t>
        </is>
      </c>
      <c r="E108" s="6" t="n">
        <v>10</v>
      </c>
      <c r="F108" s="6" t="inlineStr">
        <is>
          <t>Menor de edad</t>
        </is>
      </c>
      <c r="G108" s="6" t="inlineStr">
        <is>
          <t>2016-05-26</t>
        </is>
      </c>
      <c r="H108" s="5" t="inlineStr">
        <is>
          <t>SURA</t>
        </is>
      </c>
      <c r="I108" s="6" t="inlineStr">
        <is>
          <t>3877334757</t>
        </is>
      </c>
      <c r="J108" s="6" t="inlineStr">
        <is>
          <t>3917278266</t>
        </is>
      </c>
      <c r="K108" s="6" t="inlineStr">
        <is>
          <t>15:02:00</t>
        </is>
      </c>
      <c r="L108" s="5" t="inlineStr">
        <is>
          <t>Paro cardiorrespiratorio</t>
        </is>
      </c>
      <c r="M108" s="9" t="inlineStr">
        <is>
          <t>T1 · ROJO</t>
        </is>
      </c>
      <c r="N108" s="6" t="n">
        <v>60</v>
      </c>
      <c r="O108" s="6" t="n">
        <v>104</v>
      </c>
      <c r="P108" s="5" t="inlineStr">
        <is>
          <t>Andrés Martínez</t>
        </is>
      </c>
    </row>
    <row r="109">
      <c r="A109" s="4" t="n">
        <v>102</v>
      </c>
      <c r="B109" s="5" t="inlineStr">
        <is>
          <t>Santiago Jiménez Herrera</t>
        </is>
      </c>
      <c r="C109" s="6" t="inlineStr">
        <is>
          <t>49726379</t>
        </is>
      </c>
      <c r="D109" s="6" t="inlineStr">
        <is>
          <t>M</t>
        </is>
      </c>
      <c r="E109" s="6" t="n">
        <v>21</v>
      </c>
      <c r="F109" s="6" t="inlineStr">
        <is>
          <t>Adulto</t>
        </is>
      </c>
      <c r="G109" s="6" t="inlineStr">
        <is>
          <t>2005-05-26</t>
        </is>
      </c>
      <c r="H109" s="5" t="inlineStr">
        <is>
          <t>COMPENSAR</t>
        </is>
      </c>
      <c r="I109" s="6" t="inlineStr">
        <is>
          <t>3777108668</t>
        </is>
      </c>
      <c r="J109" s="6" t="inlineStr">
        <is>
          <t>3915929406</t>
        </is>
      </c>
      <c r="K109" s="6" t="inlineStr">
        <is>
          <t>15:06:00</t>
        </is>
      </c>
      <c r="L109" s="5" t="inlineStr">
        <is>
          <t>Dolor abdominal agudo</t>
        </is>
      </c>
      <c r="M109" s="7" t="inlineStr">
        <is>
          <t>T3 · AMARILLO</t>
        </is>
      </c>
      <c r="N109" s="6" t="n">
        <v>30</v>
      </c>
      <c r="O109" s="6" t="n">
        <v>14</v>
      </c>
      <c r="P109" s="5" t="inlineStr">
        <is>
          <t>Carlos Ramírez</t>
        </is>
      </c>
    </row>
    <row r="110">
      <c r="A110" s="4" t="n">
        <v>149</v>
      </c>
      <c r="B110" s="5" t="inlineStr">
        <is>
          <t>Daniela Sánchez Muñoz</t>
        </is>
      </c>
      <c r="C110" s="6" t="inlineStr">
        <is>
          <t>90765697</t>
        </is>
      </c>
      <c r="D110" s="6" t="inlineStr">
        <is>
          <t>F</t>
        </is>
      </c>
      <c r="E110" s="6" t="n">
        <v>23</v>
      </c>
      <c r="F110" s="6" t="inlineStr">
        <is>
          <t>Adulto</t>
        </is>
      </c>
      <c r="G110" s="6" t="inlineStr">
        <is>
          <t>2003-05-26</t>
        </is>
      </c>
      <c r="H110" s="5" t="inlineStr">
        <is>
          <t>SANITAS</t>
        </is>
      </c>
      <c r="I110" s="6" t="inlineStr">
        <is>
          <t>3974043415</t>
        </is>
      </c>
      <c r="J110" s="6" t="inlineStr">
        <is>
          <t>3127882665</t>
        </is>
      </c>
      <c r="K110" s="6" t="inlineStr">
        <is>
          <t>15:10:00</t>
        </is>
      </c>
      <c r="L110" s="5" t="inlineStr">
        <is>
          <t>Consulta menor (gripe, tos)</t>
        </is>
      </c>
      <c r="M110" s="10" t="inlineStr">
        <is>
          <t>T5 · AZUL</t>
        </is>
      </c>
      <c r="N110" s="6" t="n">
        <v>10</v>
      </c>
      <c r="O110" s="6" t="n">
        <v>23</v>
      </c>
      <c r="P110" s="5" t="inlineStr">
        <is>
          <t>Carlos Ramírez</t>
        </is>
      </c>
    </row>
    <row r="111">
      <c r="A111" s="4" t="n">
        <v>4</v>
      </c>
      <c r="B111" s="5" t="inlineStr">
        <is>
          <t>Carlos Torres Ramírez</t>
        </is>
      </c>
      <c r="C111" s="6" t="inlineStr">
        <is>
          <t>32976360</t>
        </is>
      </c>
      <c r="D111" s="6" t="inlineStr">
        <is>
          <t>M</t>
        </is>
      </c>
      <c r="E111" s="6" t="n">
        <v>54</v>
      </c>
      <c r="F111" s="6" t="inlineStr">
        <is>
          <t>Adulto</t>
        </is>
      </c>
      <c r="G111" s="6" t="inlineStr">
        <is>
          <t>1972-05-26</t>
        </is>
      </c>
      <c r="H111" s="5" t="inlineStr">
        <is>
          <t>ALIANSALUD</t>
        </is>
      </c>
      <c r="I111" s="6" t="inlineStr">
        <is>
          <t>3107393151</t>
        </is>
      </c>
      <c r="J111" s="6" t="inlineStr">
        <is>
          <t>3523278616</t>
        </is>
      </c>
      <c r="K111" s="6" t="inlineStr">
        <is>
          <t>15:20:00</t>
        </is>
      </c>
      <c r="L111" s="5" t="inlineStr">
        <is>
          <t>Dolor leve / Malestar general</t>
        </is>
      </c>
      <c r="M111" s="10" t="inlineStr">
        <is>
          <t>T5 · AZUL</t>
        </is>
      </c>
      <c r="N111" s="6" t="n">
        <v>15</v>
      </c>
      <c r="O111" s="6" t="n">
        <v>18</v>
      </c>
      <c r="P111" s="5" t="inlineStr">
        <is>
          <t>Andrés Martínez</t>
        </is>
      </c>
    </row>
    <row r="112">
      <c r="A112" s="4" t="n">
        <v>150</v>
      </c>
      <c r="B112" s="5" t="inlineStr">
        <is>
          <t>Alejandro Díaz Martínez</t>
        </is>
      </c>
      <c r="C112" s="6" t="inlineStr">
        <is>
          <t>49115012</t>
        </is>
      </c>
      <c r="D112" s="6" t="inlineStr">
        <is>
          <t>M</t>
        </is>
      </c>
      <c r="E112" s="6" t="n">
        <v>45</v>
      </c>
      <c r="F112" s="6" t="inlineStr">
        <is>
          <t>Adulto</t>
        </is>
      </c>
      <c r="G112" s="6" t="inlineStr">
        <is>
          <t>1981-05-26</t>
        </is>
      </c>
      <c r="H112" s="5" t="inlineStr">
        <is>
          <t>SALUD TOTAL</t>
        </is>
      </c>
      <c r="I112" s="6" t="inlineStr">
        <is>
          <t>3597027873</t>
        </is>
      </c>
      <c r="J112" s="6" t="inlineStr">
        <is>
          <t>3346950225</t>
        </is>
      </c>
      <c r="K112" s="6" t="inlineStr">
        <is>
          <t>15:26:00</t>
        </is>
      </c>
      <c r="L112" s="5" t="inlineStr">
        <is>
          <t>Fiebre alta con convulsión</t>
        </is>
      </c>
      <c r="M112" s="8" t="inlineStr">
        <is>
          <t>T4 · VERDE</t>
        </is>
      </c>
      <c r="N112" s="6" t="n">
        <v>25</v>
      </c>
      <c r="O112" s="6" t="n">
        <v>89</v>
      </c>
      <c r="P112" s="5" t="inlineStr">
        <is>
          <t>Carlos Ramírez</t>
        </is>
      </c>
    </row>
    <row r="113">
      <c r="A113" s="4" t="n">
        <v>106</v>
      </c>
      <c r="B113" s="5" t="inlineStr">
        <is>
          <t>Carlos Rodríguez Morales</t>
        </is>
      </c>
      <c r="C113" s="6" t="inlineStr">
        <is>
          <t>51544743</t>
        </is>
      </c>
      <c r="D113" s="6" t="inlineStr">
        <is>
          <t>M</t>
        </is>
      </c>
      <c r="E113" s="6" t="n">
        <v>64</v>
      </c>
      <c r="F113" s="6" t="inlineStr">
        <is>
          <t>Adulto mayor</t>
        </is>
      </c>
      <c r="G113" s="6" t="inlineStr">
        <is>
          <t>1962-05-26</t>
        </is>
      </c>
      <c r="H113" s="5" t="inlineStr">
        <is>
          <t>CAJACOPI</t>
        </is>
      </c>
      <c r="I113" s="6" t="inlineStr">
        <is>
          <t>3674572418</t>
        </is>
      </c>
      <c r="J113" s="6" t="inlineStr">
        <is>
          <t>3262008547</t>
        </is>
      </c>
      <c r="K113" s="6" t="inlineStr">
        <is>
          <t>15:31:00</t>
        </is>
      </c>
      <c r="L113" s="5" t="inlineStr">
        <is>
          <t>Fractura con compromiso vascular</t>
        </is>
      </c>
      <c r="M113" s="7" t="inlineStr">
        <is>
          <t>T3 · AMARILLO</t>
        </is>
      </c>
      <c r="N113" s="6" t="n">
        <v>35</v>
      </c>
      <c r="O113" s="6" t="n">
        <v>56</v>
      </c>
      <c r="P113" s="5" t="inlineStr">
        <is>
          <t>Carlos Ramírez</t>
        </is>
      </c>
    </row>
    <row r="114">
      <c r="A114" s="4" t="n">
        <v>83</v>
      </c>
      <c r="B114" s="5" t="inlineStr">
        <is>
          <t>Ricardo Medina Rodríguez</t>
        </is>
      </c>
      <c r="C114" s="6" t="inlineStr">
        <is>
          <t>84589987</t>
        </is>
      </c>
      <c r="D114" s="6" t="inlineStr">
        <is>
          <t>M</t>
        </is>
      </c>
      <c r="E114" s="6" t="n">
        <v>46</v>
      </c>
      <c r="F114" s="6" t="inlineStr">
        <is>
          <t>Adulto</t>
        </is>
      </c>
      <c r="G114" s="6" t="inlineStr">
        <is>
          <t>1980-05-26</t>
        </is>
      </c>
      <c r="H114" s="5" t="inlineStr">
        <is>
          <t>COMPENSAR</t>
        </is>
      </c>
      <c r="I114" s="6" t="inlineStr">
        <is>
          <t>3447113759</t>
        </is>
      </c>
      <c r="J114" s="6" t="inlineStr">
        <is>
          <t>3255136934</t>
        </is>
      </c>
      <c r="K114" s="6" t="inlineStr">
        <is>
          <t>15:34:00</t>
        </is>
      </c>
      <c r="L114" s="5" t="inlineStr">
        <is>
          <t>Politraumatismo grave</t>
        </is>
      </c>
      <c r="M114" s="9" t="inlineStr">
        <is>
          <t>T1 · ROJO</t>
        </is>
      </c>
      <c r="N114" s="6" t="n">
        <v>90</v>
      </c>
      <c r="O114" s="6" t="n">
        <v>68</v>
      </c>
      <c r="P114" s="5" t="inlineStr">
        <is>
          <t>Andrés Martínez</t>
        </is>
      </c>
    </row>
    <row r="115">
      <c r="A115" s="4" t="n">
        <v>19</v>
      </c>
      <c r="B115" s="5" t="inlineStr">
        <is>
          <t>Ana Moreno Rodríguez</t>
        </is>
      </c>
      <c r="C115" s="6" t="inlineStr">
        <is>
          <t>35231620</t>
        </is>
      </c>
      <c r="D115" s="6" t="inlineStr">
        <is>
          <t>F</t>
        </is>
      </c>
      <c r="E115" s="6" t="n">
        <v>35</v>
      </c>
      <c r="F115" s="6" t="inlineStr">
        <is>
          <t>Adulto</t>
        </is>
      </c>
      <c r="G115" s="6" t="inlineStr">
        <is>
          <t>1991-05-26</t>
        </is>
      </c>
      <c r="H115" s="5" t="inlineStr">
        <is>
          <t>SURA</t>
        </is>
      </c>
      <c r="I115" s="6" t="inlineStr">
        <is>
          <t>3408446550</t>
        </is>
      </c>
      <c r="J115" s="6" t="inlineStr">
        <is>
          <t>3872345177</t>
        </is>
      </c>
      <c r="K115" s="6" t="inlineStr">
        <is>
          <t>15:37:00</t>
        </is>
      </c>
      <c r="L115" s="5" t="inlineStr">
        <is>
          <t>Fractura con compromiso vascular</t>
        </is>
      </c>
      <c r="M115" s="7" t="inlineStr">
        <is>
          <t>T3 · AMARILLO</t>
        </is>
      </c>
      <c r="N115" s="6" t="n">
        <v>35</v>
      </c>
      <c r="O115" s="6" t="n">
        <v>29</v>
      </c>
      <c r="P115" s="5" t="inlineStr">
        <is>
          <t>Sofía Torres</t>
        </is>
      </c>
    </row>
    <row r="116">
      <c r="A116" s="4" t="n">
        <v>120</v>
      </c>
      <c r="B116" s="5" t="inlineStr">
        <is>
          <t>Carlos Gómez Pardo</t>
        </is>
      </c>
      <c r="C116" s="6" t="inlineStr">
        <is>
          <t>74485062</t>
        </is>
      </c>
      <c r="D116" s="6" t="inlineStr">
        <is>
          <t>M</t>
        </is>
      </c>
      <c r="E116" s="6" t="n">
        <v>64</v>
      </c>
      <c r="F116" s="6" t="inlineStr">
        <is>
          <t>Adulto mayor</t>
        </is>
      </c>
      <c r="G116" s="6" t="inlineStr">
        <is>
          <t>1962-05-26</t>
        </is>
      </c>
      <c r="H116" s="5" t="inlineStr">
        <is>
          <t>COMPENSAR</t>
        </is>
      </c>
      <c r="I116" s="6" t="inlineStr">
        <is>
          <t>3485849348</t>
        </is>
      </c>
      <c r="J116" s="6" t="inlineStr">
        <is>
          <t>3191896688</t>
        </is>
      </c>
      <c r="K116" s="6" t="inlineStr">
        <is>
          <t>15:42:00</t>
        </is>
      </c>
      <c r="L116" s="5" t="inlineStr">
        <is>
          <t>Dolor abdominal agudo</t>
        </is>
      </c>
      <c r="M116" s="7" t="inlineStr">
        <is>
          <t>T3 · AMARILLO</t>
        </is>
      </c>
      <c r="N116" s="6" t="n">
        <v>30</v>
      </c>
      <c r="O116" s="6" t="n">
        <v>110</v>
      </c>
      <c r="P116" s="5" t="inlineStr">
        <is>
          <t>Felipe Herrera</t>
        </is>
      </c>
    </row>
    <row r="117">
      <c r="A117" s="4" t="n">
        <v>112</v>
      </c>
      <c r="B117" s="5" t="inlineStr">
        <is>
          <t>Camila Alvarado Castro</t>
        </is>
      </c>
      <c r="C117" s="6" t="inlineStr">
        <is>
          <t>13589998</t>
        </is>
      </c>
      <c r="D117" s="6" t="inlineStr">
        <is>
          <t>F</t>
        </is>
      </c>
      <c r="E117" s="6" t="n">
        <v>45</v>
      </c>
      <c r="F117" s="6" t="inlineStr">
        <is>
          <t>Adulto</t>
        </is>
      </c>
      <c r="G117" s="6" t="inlineStr">
        <is>
          <t>1981-05-26</t>
        </is>
      </c>
      <c r="H117" s="5" t="inlineStr">
        <is>
          <t>SURA</t>
        </is>
      </c>
      <c r="I117" s="6" t="inlineStr">
        <is>
          <t>3275917555</t>
        </is>
      </c>
      <c r="J117" s="6" t="inlineStr">
        <is>
          <t>3659848683</t>
        </is>
      </c>
      <c r="K117" s="6" t="inlineStr">
        <is>
          <t>15:44:00</t>
        </is>
      </c>
      <c r="L117" s="5" t="inlineStr">
        <is>
          <t>Dolor abdominal agudo</t>
        </is>
      </c>
      <c r="M117" s="7" t="inlineStr">
        <is>
          <t>T3 · AMARILLO</t>
        </is>
      </c>
      <c r="N117" s="6" t="n">
        <v>30</v>
      </c>
      <c r="O117" s="6" t="n">
        <v>49</v>
      </c>
      <c r="P117" s="5" t="inlineStr">
        <is>
          <t>Laura Gómez</t>
        </is>
      </c>
    </row>
    <row r="118">
      <c r="A118" s="4" t="n">
        <v>12</v>
      </c>
      <c r="B118" s="5" t="inlineStr">
        <is>
          <t>Carlos Sánchez Ospina</t>
        </is>
      </c>
      <c r="C118" s="6" t="inlineStr">
        <is>
          <t>32462633</t>
        </is>
      </c>
      <c r="D118" s="6" t="inlineStr">
        <is>
          <t>M</t>
        </is>
      </c>
      <c r="E118" s="6" t="n">
        <v>58</v>
      </c>
      <c r="F118" s="6" t="inlineStr">
        <is>
          <t>Adulto</t>
        </is>
      </c>
      <c r="G118" s="6" t="inlineStr">
        <is>
          <t>1968-05-26</t>
        </is>
      </c>
      <c r="H118" s="5" t="inlineStr">
        <is>
          <t>SALUD TOTAL</t>
        </is>
      </c>
      <c r="I118" s="6" t="inlineStr">
        <is>
          <t>3905823510</t>
        </is>
      </c>
      <c r="J118" s="6" t="inlineStr">
        <is>
          <t>3351345908</t>
        </is>
      </c>
      <c r="K118" s="6" t="inlineStr">
        <is>
          <t>15:52:00</t>
        </is>
      </c>
      <c r="L118" s="5" t="inlineStr">
        <is>
          <t>ACV / Derrame cerebral</t>
        </is>
      </c>
      <c r="M118" s="11" t="inlineStr">
        <is>
          <t>T2 · NARANJA</t>
        </is>
      </c>
      <c r="N118" s="6" t="n">
        <v>50</v>
      </c>
      <c r="O118" s="6" t="n">
        <v>59</v>
      </c>
      <c r="P118" s="5" t="inlineStr">
        <is>
          <t>Felipe Herrera</t>
        </is>
      </c>
    </row>
    <row r="119">
      <c r="A119" s="4" t="n">
        <v>136</v>
      </c>
      <c r="B119" s="5" t="inlineStr">
        <is>
          <t>Fernanda Pardo Jiménez</t>
        </is>
      </c>
      <c r="C119" s="6" t="inlineStr">
        <is>
          <t>41942009</t>
        </is>
      </c>
      <c r="D119" s="6" t="inlineStr">
        <is>
          <t>F</t>
        </is>
      </c>
      <c r="E119" s="6" t="n">
        <v>1</v>
      </c>
      <c r="F119" s="6" t="inlineStr">
        <is>
          <t>Neonato</t>
        </is>
      </c>
      <c r="G119" s="6" t="inlineStr">
        <is>
          <t>2025-05-26</t>
        </is>
      </c>
      <c r="H119" s="5" t="inlineStr">
        <is>
          <t>COOMEVA</t>
        </is>
      </c>
      <c r="I119" s="6" t="inlineStr">
        <is>
          <t>3508432745</t>
        </is>
      </c>
      <c r="J119" s="6" t="inlineStr">
        <is>
          <t>3839729320</t>
        </is>
      </c>
      <c r="K119" s="6" t="inlineStr">
        <is>
          <t>15:54:00</t>
        </is>
      </c>
      <c r="L119" s="5" t="inlineStr">
        <is>
          <t>Herida con sangrado moderado</t>
        </is>
      </c>
      <c r="M119" s="8" t="inlineStr">
        <is>
          <t>T4 · VERDE</t>
        </is>
      </c>
      <c r="N119" s="6" t="n">
        <v>20</v>
      </c>
      <c r="O119" s="6" t="n">
        <v>31</v>
      </c>
      <c r="P119" s="5" t="inlineStr">
        <is>
          <t>Felipe Herrera</t>
        </is>
      </c>
    </row>
    <row r="120">
      <c r="A120" s="4" t="n">
        <v>89</v>
      </c>
      <c r="B120" s="5" t="inlineStr">
        <is>
          <t>Daniel Sánchez Rodríguez</t>
        </is>
      </c>
      <c r="C120" s="6" t="inlineStr">
        <is>
          <t>60892307</t>
        </is>
      </c>
      <c r="D120" s="6" t="inlineStr">
        <is>
          <t>M</t>
        </is>
      </c>
      <c r="E120" s="6" t="n">
        <v>71</v>
      </c>
      <c r="F120" s="6" t="inlineStr">
        <is>
          <t>Adulto mayor</t>
        </is>
      </c>
      <c r="G120" s="6" t="inlineStr">
        <is>
          <t>1955-05-26</t>
        </is>
      </c>
      <c r="H120" s="5" t="inlineStr">
        <is>
          <t>SANITAS</t>
        </is>
      </c>
      <c r="I120" s="6" t="inlineStr">
        <is>
          <t>3883369603</t>
        </is>
      </c>
      <c r="J120" s="6" t="inlineStr">
        <is>
          <t>3231644571</t>
        </is>
      </c>
      <c r="K120" s="6" t="inlineStr">
        <is>
          <t>15:58:00</t>
        </is>
      </c>
      <c r="L120" s="5" t="inlineStr">
        <is>
          <t>Fiebre alta con convulsión</t>
        </is>
      </c>
      <c r="M120" s="8" t="inlineStr">
        <is>
          <t>T4 · VERDE</t>
        </is>
      </c>
      <c r="N120" s="6" t="n">
        <v>25</v>
      </c>
      <c r="O120" s="6" t="n">
        <v>44</v>
      </c>
      <c r="P120" s="5" t="inlineStr">
        <is>
          <t>Felipe Herrera</t>
        </is>
      </c>
    </row>
    <row r="121">
      <c r="A121" s="4" t="n">
        <v>131</v>
      </c>
      <c r="B121" s="5" t="inlineStr">
        <is>
          <t>Jorge Gómez Moreno</t>
        </is>
      </c>
      <c r="C121" s="6" t="inlineStr">
        <is>
          <t>36118788</t>
        </is>
      </c>
      <c r="D121" s="6" t="inlineStr">
        <is>
          <t>M</t>
        </is>
      </c>
      <c r="E121" s="6" t="n">
        <v>63</v>
      </c>
      <c r="F121" s="6" t="inlineStr">
        <is>
          <t>Adulto mayor</t>
        </is>
      </c>
      <c r="G121" s="6" t="inlineStr">
        <is>
          <t>1963-05-26</t>
        </is>
      </c>
      <c r="H121" s="5" t="inlineStr">
        <is>
          <t>CAJACOPI</t>
        </is>
      </c>
      <c r="I121" s="6" t="inlineStr">
        <is>
          <t>3705840501</t>
        </is>
      </c>
      <c r="J121" s="6" t="inlineStr">
        <is>
          <t>3746593879</t>
        </is>
      </c>
      <c r="K121" s="6" t="inlineStr">
        <is>
          <t>16:00:00</t>
        </is>
      </c>
      <c r="L121" s="5" t="inlineStr">
        <is>
          <t>Fractura con compromiso vascular</t>
        </is>
      </c>
      <c r="M121" s="7" t="inlineStr">
        <is>
          <t>T3 · AMARILLO</t>
        </is>
      </c>
      <c r="N121" s="6" t="n">
        <v>35</v>
      </c>
      <c r="O121" s="6" t="n">
        <v>82</v>
      </c>
      <c r="P121" s="5" t="inlineStr">
        <is>
          <t>Laura Gómez</t>
        </is>
      </c>
    </row>
    <row r="122">
      <c r="A122" s="4" t="n">
        <v>97</v>
      </c>
      <c r="B122" s="5" t="inlineStr">
        <is>
          <t>Jorge Díaz Reyes</t>
        </is>
      </c>
      <c r="C122" s="6" t="inlineStr">
        <is>
          <t>21764176</t>
        </is>
      </c>
      <c r="D122" s="6" t="inlineStr">
        <is>
          <t>M</t>
        </is>
      </c>
      <c r="E122" s="6" t="n">
        <v>77</v>
      </c>
      <c r="F122" s="6" t="inlineStr">
        <is>
          <t>Anciano</t>
        </is>
      </c>
      <c r="G122" s="6" t="inlineStr">
        <is>
          <t>1949-05-26</t>
        </is>
      </c>
      <c r="H122" s="5" t="inlineStr">
        <is>
          <t>CAJACOPI</t>
        </is>
      </c>
      <c r="I122" s="6" t="inlineStr">
        <is>
          <t>3358519528</t>
        </is>
      </c>
      <c r="J122" s="6" t="inlineStr">
        <is>
          <t>3497424899</t>
        </is>
      </c>
      <c r="K122" s="6" t="inlineStr">
        <is>
          <t>16:03:00</t>
        </is>
      </c>
      <c r="L122" s="5" t="inlineStr">
        <is>
          <t>ACV / Derrame cerebral</t>
        </is>
      </c>
      <c r="M122" s="11" t="inlineStr">
        <is>
          <t>T2 · NARANJA</t>
        </is>
      </c>
      <c r="N122" s="6" t="n">
        <v>50</v>
      </c>
      <c r="O122" s="6" t="n">
        <v>16</v>
      </c>
      <c r="P122" s="5" t="inlineStr">
        <is>
          <t>Andrés Martínez</t>
        </is>
      </c>
    </row>
    <row r="123">
      <c r="A123" s="4" t="n">
        <v>116</v>
      </c>
      <c r="B123" s="5" t="inlineStr">
        <is>
          <t>Ricardo Ramírez Alvarado</t>
        </is>
      </c>
      <c r="C123" s="6" t="inlineStr">
        <is>
          <t>48150865</t>
        </is>
      </c>
      <c r="D123" s="6" t="inlineStr">
        <is>
          <t>M</t>
        </is>
      </c>
      <c r="E123" s="6" t="n">
        <v>56</v>
      </c>
      <c r="F123" s="6" t="inlineStr">
        <is>
          <t>Adulto</t>
        </is>
      </c>
      <c r="G123" s="6" t="inlineStr">
        <is>
          <t>1970-05-26</t>
        </is>
      </c>
      <c r="H123" s="5" t="inlineStr">
        <is>
          <t>NUEVA EPS</t>
        </is>
      </c>
      <c r="I123" s="6" t="inlineStr">
        <is>
          <t>3805007143</t>
        </is>
      </c>
      <c r="J123" s="6" t="inlineStr">
        <is>
          <t>3605129075</t>
        </is>
      </c>
      <c r="K123" s="6" t="inlineStr">
        <is>
          <t>16:05:00</t>
        </is>
      </c>
      <c r="L123" s="5" t="inlineStr">
        <is>
          <t>Paro cardiorrespiratorio</t>
        </is>
      </c>
      <c r="M123" s="9" t="inlineStr">
        <is>
          <t>T1 · ROJO</t>
        </is>
      </c>
      <c r="N123" s="6" t="n">
        <v>60</v>
      </c>
      <c r="O123" s="6" t="n">
        <v>85</v>
      </c>
      <c r="P123" s="5" t="inlineStr">
        <is>
          <t>Andrés Martínez</t>
        </is>
      </c>
    </row>
    <row r="124">
      <c r="A124" s="4" t="n">
        <v>132</v>
      </c>
      <c r="B124" s="5" t="inlineStr">
        <is>
          <t>Mariana Pardo Rodríguez</t>
        </is>
      </c>
      <c r="C124" s="6" t="inlineStr">
        <is>
          <t>68887647</t>
        </is>
      </c>
      <c r="D124" s="6" t="inlineStr">
        <is>
          <t>F</t>
        </is>
      </c>
      <c r="E124" s="6" t="n">
        <v>61</v>
      </c>
      <c r="F124" s="6" t="inlineStr">
        <is>
          <t>Adulto mayor</t>
        </is>
      </c>
      <c r="G124" s="6" t="inlineStr">
        <is>
          <t>1965-05-26</t>
        </is>
      </c>
      <c r="H124" s="5" t="inlineStr">
        <is>
          <t>CAJACOPI</t>
        </is>
      </c>
      <c r="I124" s="6" t="inlineStr">
        <is>
          <t>3169222563</t>
        </is>
      </c>
      <c r="J124" s="6" t="inlineStr">
        <is>
          <t>3447744578</t>
        </is>
      </c>
      <c r="K124" s="6" t="inlineStr">
        <is>
          <t>16:05:00</t>
        </is>
      </c>
      <c r="L124" s="5" t="inlineStr">
        <is>
          <t>Fractura con compromiso vascular</t>
        </is>
      </c>
      <c r="M124" s="7" t="inlineStr">
        <is>
          <t>T3 · AMARILLO</t>
        </is>
      </c>
      <c r="N124" s="6" t="n">
        <v>35</v>
      </c>
      <c r="O124" s="6" t="n">
        <v>32</v>
      </c>
      <c r="P124" s="5" t="inlineStr">
        <is>
          <t>Felipe Herrera</t>
        </is>
      </c>
    </row>
    <row r="125">
      <c r="A125" s="4" t="n">
        <v>65</v>
      </c>
      <c r="B125" s="5" t="inlineStr">
        <is>
          <t>Ricardo Díaz Ríos</t>
        </is>
      </c>
      <c r="C125" s="6" t="inlineStr">
        <is>
          <t>10135019</t>
        </is>
      </c>
      <c r="D125" s="6" t="inlineStr">
        <is>
          <t>M</t>
        </is>
      </c>
      <c r="E125" s="6" t="n">
        <v>66</v>
      </c>
      <c r="F125" s="6" t="inlineStr">
        <is>
          <t>Adulto mayor</t>
        </is>
      </c>
      <c r="G125" s="6" t="inlineStr">
        <is>
          <t>1960-05-26</t>
        </is>
      </c>
      <c r="H125" s="5" t="inlineStr">
        <is>
          <t>COMPENSAR</t>
        </is>
      </c>
      <c r="I125" s="6" t="inlineStr">
        <is>
          <t>3378182548</t>
        </is>
      </c>
      <c r="J125" s="6" t="inlineStr">
        <is>
          <t>3758610912</t>
        </is>
      </c>
      <c r="K125" s="6" t="inlineStr">
        <is>
          <t>16:21:00</t>
        </is>
      </c>
      <c r="L125" s="5" t="inlineStr">
        <is>
          <t>Dolor abdominal agudo</t>
        </is>
      </c>
      <c r="M125" s="7" t="inlineStr">
        <is>
          <t>T3 · AMARILLO</t>
        </is>
      </c>
      <c r="N125" s="6" t="n">
        <v>30</v>
      </c>
      <c r="O125" s="6" t="n">
        <v>17</v>
      </c>
      <c r="P125" s="5" t="inlineStr">
        <is>
          <t>Felipe Herrera</t>
        </is>
      </c>
    </row>
    <row r="126">
      <c r="A126" s="4" t="n">
        <v>96</v>
      </c>
      <c r="B126" s="5" t="inlineStr">
        <is>
          <t>Santiago Reyes Pardo</t>
        </is>
      </c>
      <c r="C126" s="6" t="inlineStr">
        <is>
          <t>99566260</t>
        </is>
      </c>
      <c r="D126" s="6" t="inlineStr">
        <is>
          <t>M</t>
        </is>
      </c>
      <c r="E126" s="6" t="n">
        <v>27</v>
      </c>
      <c r="F126" s="6" t="inlineStr">
        <is>
          <t>Adulto</t>
        </is>
      </c>
      <c r="G126" s="6" t="inlineStr">
        <is>
          <t>1999-05-26</t>
        </is>
      </c>
      <c r="H126" s="5" t="inlineStr">
        <is>
          <t>SURA</t>
        </is>
      </c>
      <c r="I126" s="6" t="inlineStr">
        <is>
          <t>3871806814</t>
        </is>
      </c>
      <c r="J126" s="6" t="inlineStr">
        <is>
          <t>3947681567</t>
        </is>
      </c>
      <c r="K126" s="6" t="inlineStr">
        <is>
          <t>16:26:00</t>
        </is>
      </c>
      <c r="L126" s="5" t="inlineStr">
        <is>
          <t>Dolor leve / Malestar general</t>
        </is>
      </c>
      <c r="M126" s="10" t="inlineStr">
        <is>
          <t>T5 · AZUL</t>
        </is>
      </c>
      <c r="N126" s="6" t="n">
        <v>15</v>
      </c>
      <c r="O126" s="6" t="n">
        <v>94</v>
      </c>
      <c r="P126" s="5" t="inlineStr">
        <is>
          <t>Carlos Ramírez</t>
        </is>
      </c>
    </row>
    <row r="127">
      <c r="A127" s="4" t="n">
        <v>57</v>
      </c>
      <c r="B127" s="5" t="inlineStr">
        <is>
          <t>Claudia Gómez Bernal</t>
        </is>
      </c>
      <c r="C127" s="6" t="inlineStr">
        <is>
          <t>36216143</t>
        </is>
      </c>
      <c r="D127" s="6" t="inlineStr">
        <is>
          <t>F</t>
        </is>
      </c>
      <c r="E127" s="6" t="n">
        <v>12</v>
      </c>
      <c r="F127" s="6" t="inlineStr">
        <is>
          <t>Menor de edad</t>
        </is>
      </c>
      <c r="G127" s="6" t="inlineStr">
        <is>
          <t>2014-05-26</t>
        </is>
      </c>
      <c r="H127" s="5" t="inlineStr">
        <is>
          <t>ALIANSALUD</t>
        </is>
      </c>
      <c r="I127" s="6" t="inlineStr">
        <is>
          <t>3343245423</t>
        </is>
      </c>
      <c r="J127" s="6" t="inlineStr">
        <is>
          <t>3385258814</t>
        </is>
      </c>
      <c r="K127" s="6" t="inlineStr">
        <is>
          <t>17:20:00</t>
        </is>
      </c>
      <c r="L127" s="5" t="inlineStr">
        <is>
          <t>Fractura con compromiso vascular</t>
        </is>
      </c>
      <c r="M127" s="7" t="inlineStr">
        <is>
          <t>T3 · AMARILLO</t>
        </is>
      </c>
      <c r="N127" s="6" t="n">
        <v>35</v>
      </c>
      <c r="O127" s="6" t="n">
        <v>14</v>
      </c>
      <c r="P127" s="5" t="inlineStr">
        <is>
          <t>Laura Gómez</t>
        </is>
      </c>
    </row>
    <row r="128">
      <c r="A128" s="4" t="n">
        <v>2</v>
      </c>
      <c r="B128" s="5" t="inlineStr">
        <is>
          <t>Ricardo Jiménez Morales</t>
        </is>
      </c>
      <c r="C128" s="6" t="inlineStr">
        <is>
          <t>38533462</t>
        </is>
      </c>
      <c r="D128" s="6" t="inlineStr">
        <is>
          <t>M</t>
        </is>
      </c>
      <c r="E128" s="6" t="n">
        <v>18</v>
      </c>
      <c r="F128" s="6" t="inlineStr">
        <is>
          <t>Adulto</t>
        </is>
      </c>
      <c r="G128" s="6" t="inlineStr">
        <is>
          <t>2008-05-26</t>
        </is>
      </c>
      <c r="H128" s="5" t="inlineStr">
        <is>
          <t>CAJACOPI</t>
        </is>
      </c>
      <c r="I128" s="6" t="inlineStr">
        <is>
          <t>3155519768</t>
        </is>
      </c>
      <c r="J128" s="6" t="inlineStr">
        <is>
          <t>3811127838</t>
        </is>
      </c>
      <c r="K128" s="6" t="inlineStr">
        <is>
          <t>17:25:00</t>
        </is>
      </c>
      <c r="L128" s="5" t="inlineStr">
        <is>
          <t>Dificultad respiratoria severa</t>
        </is>
      </c>
      <c r="M128" s="11" t="inlineStr">
        <is>
          <t>T2 · NARANJA</t>
        </is>
      </c>
      <c r="N128" s="6" t="n">
        <v>45</v>
      </c>
      <c r="O128" s="6" t="n">
        <v>60</v>
      </c>
      <c r="P128" s="5" t="inlineStr">
        <is>
          <t>Andrés Martínez</t>
        </is>
      </c>
    </row>
    <row r="129">
      <c r="A129" s="4" t="n">
        <v>64</v>
      </c>
      <c r="B129" s="5" t="inlineStr">
        <is>
          <t>Daniela García Herrera</t>
        </is>
      </c>
      <c r="C129" s="6" t="inlineStr">
        <is>
          <t>18016163</t>
        </is>
      </c>
      <c r="D129" s="6" t="inlineStr">
        <is>
          <t>F</t>
        </is>
      </c>
      <c r="E129" s="6" t="n">
        <v>14</v>
      </c>
      <c r="F129" s="6" t="inlineStr">
        <is>
          <t>Menor de edad</t>
        </is>
      </c>
      <c r="G129" s="6" t="inlineStr">
        <is>
          <t>2012-05-26</t>
        </is>
      </c>
      <c r="H129" s="5" t="inlineStr">
        <is>
          <t>NUEVA EPS</t>
        </is>
      </c>
      <c r="I129" s="6" t="inlineStr">
        <is>
          <t>3415250128</t>
        </is>
      </c>
      <c r="J129" s="6" t="inlineStr">
        <is>
          <t>3652895881</t>
        </is>
      </c>
      <c r="K129" s="6" t="inlineStr">
        <is>
          <t>17:28:00</t>
        </is>
      </c>
      <c r="L129" s="5" t="inlineStr">
        <is>
          <t>ACV / Derrame cerebral</t>
        </is>
      </c>
      <c r="M129" s="11" t="inlineStr">
        <is>
          <t>T2 · NARANJA</t>
        </is>
      </c>
      <c r="N129" s="6" t="n">
        <v>50</v>
      </c>
      <c r="O129" s="6" t="n">
        <v>118</v>
      </c>
      <c r="P129" s="5" t="inlineStr">
        <is>
          <t>Laura Gómez</t>
        </is>
      </c>
    </row>
    <row r="130">
      <c r="A130" s="4" t="n">
        <v>147</v>
      </c>
      <c r="B130" s="5" t="inlineStr">
        <is>
          <t>Alejandra Martínez Alvarado</t>
        </is>
      </c>
      <c r="C130" s="6" t="inlineStr">
        <is>
          <t>72914187</t>
        </is>
      </c>
      <c r="D130" s="6" t="inlineStr">
        <is>
          <t>F</t>
        </is>
      </c>
      <c r="E130" s="6" t="n">
        <v>65</v>
      </c>
      <c r="F130" s="6" t="inlineStr">
        <is>
          <t>Adulto mayor</t>
        </is>
      </c>
      <c r="G130" s="6" t="inlineStr">
        <is>
          <t>1961-05-26</t>
        </is>
      </c>
      <c r="H130" s="5" t="inlineStr">
        <is>
          <t>SURA</t>
        </is>
      </c>
      <c r="I130" s="6" t="inlineStr">
        <is>
          <t>3388019482</t>
        </is>
      </c>
      <c r="J130" s="6" t="inlineStr">
        <is>
          <t>3782591873</t>
        </is>
      </c>
      <c r="K130" s="6" t="inlineStr">
        <is>
          <t>17:33:00</t>
        </is>
      </c>
      <c r="L130" s="5" t="inlineStr">
        <is>
          <t>Paro cardiorrespiratorio</t>
        </is>
      </c>
      <c r="M130" s="9" t="inlineStr">
        <is>
          <t>T1 · ROJO</t>
        </is>
      </c>
      <c r="N130" s="6" t="n">
        <v>60</v>
      </c>
      <c r="O130" s="6" t="n">
        <v>69</v>
      </c>
      <c r="P130" s="5" t="inlineStr">
        <is>
          <t>Felipe Herrera</t>
        </is>
      </c>
    </row>
    <row r="131">
      <c r="A131" s="4" t="n">
        <v>98</v>
      </c>
      <c r="B131" s="5" t="inlineStr">
        <is>
          <t>Ana Pardo Jiménez</t>
        </is>
      </c>
      <c r="C131" s="6" t="inlineStr">
        <is>
          <t>75862573</t>
        </is>
      </c>
      <c r="D131" s="6" t="inlineStr">
        <is>
          <t>F</t>
        </is>
      </c>
      <c r="E131" s="6" t="n">
        <v>79</v>
      </c>
      <c r="F131" s="6" t="inlineStr">
        <is>
          <t>Anciano</t>
        </is>
      </c>
      <c r="G131" s="6" t="inlineStr">
        <is>
          <t>1947-05-26</t>
        </is>
      </c>
      <c r="H131" s="5" t="inlineStr">
        <is>
          <t>SANITAS</t>
        </is>
      </c>
      <c r="I131" s="6" t="inlineStr">
        <is>
          <t>3574619100</t>
        </is>
      </c>
      <c r="J131" s="6" t="inlineStr">
        <is>
          <t>3848015088</t>
        </is>
      </c>
      <c r="K131" s="6" t="inlineStr">
        <is>
          <t>17:35:00</t>
        </is>
      </c>
      <c r="L131" s="5" t="inlineStr">
        <is>
          <t>Dolor abdominal agudo</t>
        </is>
      </c>
      <c r="M131" s="7" t="inlineStr">
        <is>
          <t>T3 · AMARILLO</t>
        </is>
      </c>
      <c r="N131" s="6" t="n">
        <v>30</v>
      </c>
      <c r="O131" s="6" t="n">
        <v>89</v>
      </c>
      <c r="P131" s="5" t="inlineStr">
        <is>
          <t>Felipe Herrera</t>
        </is>
      </c>
    </row>
    <row r="132">
      <c r="A132" s="4" t="n">
        <v>10</v>
      </c>
      <c r="B132" s="5" t="inlineStr">
        <is>
          <t>Isabella Cruz Ríos</t>
        </is>
      </c>
      <c r="C132" s="6" t="inlineStr">
        <is>
          <t>47888437</t>
        </is>
      </c>
      <c r="D132" s="6" t="inlineStr">
        <is>
          <t>F</t>
        </is>
      </c>
      <c r="E132" s="6" t="n">
        <v>43</v>
      </c>
      <c r="F132" s="6" t="inlineStr">
        <is>
          <t>Adulto</t>
        </is>
      </c>
      <c r="G132" s="6" t="inlineStr">
        <is>
          <t>1983-05-26</t>
        </is>
      </c>
      <c r="H132" s="5" t="inlineStr">
        <is>
          <t>COOMEVA</t>
        </is>
      </c>
      <c r="I132" s="6" t="inlineStr">
        <is>
          <t>3356794558</t>
        </is>
      </c>
      <c r="J132" s="6" t="inlineStr">
        <is>
          <t>3106960763</t>
        </is>
      </c>
      <c r="K132" s="6" t="inlineStr">
        <is>
          <t>17:38:00</t>
        </is>
      </c>
      <c r="L132" s="5" t="inlineStr">
        <is>
          <t>Herida con sangrado moderado</t>
        </is>
      </c>
      <c r="M132" s="8" t="inlineStr">
        <is>
          <t>T4 · VERDE</t>
        </is>
      </c>
      <c r="N132" s="6" t="n">
        <v>20</v>
      </c>
      <c r="O132" s="6" t="n">
        <v>24</v>
      </c>
      <c r="P132" s="5" t="inlineStr">
        <is>
          <t>Sofía Torres</t>
        </is>
      </c>
    </row>
    <row r="133">
      <c r="A133" s="4" t="n">
        <v>88</v>
      </c>
      <c r="B133" s="5" t="inlineStr">
        <is>
          <t>Sofía Sánchez García</t>
        </is>
      </c>
      <c r="C133" s="6" t="inlineStr">
        <is>
          <t>95531222</t>
        </is>
      </c>
      <c r="D133" s="6" t="inlineStr">
        <is>
          <t>F</t>
        </is>
      </c>
      <c r="E133" s="6" t="n">
        <v>85</v>
      </c>
      <c r="F133" s="6" t="inlineStr">
        <is>
          <t>Anciano</t>
        </is>
      </c>
      <c r="G133" s="6" t="inlineStr">
        <is>
          <t>1941-05-26</t>
        </is>
      </c>
      <c r="H133" s="5" t="inlineStr">
        <is>
          <t>NUEVA EPS</t>
        </is>
      </c>
      <c r="I133" s="6" t="inlineStr">
        <is>
          <t>3983227011</t>
        </is>
      </c>
      <c r="J133" s="6" t="inlineStr">
        <is>
          <t>3659603701</t>
        </is>
      </c>
      <c r="K133" s="6" t="inlineStr">
        <is>
          <t>17:52:00</t>
        </is>
      </c>
      <c r="L133" s="5" t="inlineStr">
        <is>
          <t>Fractura con compromiso vascular</t>
        </is>
      </c>
      <c r="M133" s="7" t="inlineStr">
        <is>
          <t>T3 · AMARILLO</t>
        </is>
      </c>
      <c r="N133" s="6" t="n">
        <v>35</v>
      </c>
      <c r="O133" s="6" t="n">
        <v>40</v>
      </c>
      <c r="P133" s="5" t="inlineStr">
        <is>
          <t>Carlos Ramírez</t>
        </is>
      </c>
    </row>
    <row r="134">
      <c r="A134" s="4" t="n">
        <v>53</v>
      </c>
      <c r="B134" s="5" t="inlineStr">
        <is>
          <t>Daniela Cárdenas Rodríguez</t>
        </is>
      </c>
      <c r="C134" s="6" t="inlineStr">
        <is>
          <t>81399816</t>
        </is>
      </c>
      <c r="D134" s="6" t="inlineStr">
        <is>
          <t>F</t>
        </is>
      </c>
      <c r="E134" s="6" t="n">
        <v>36</v>
      </c>
      <c r="F134" s="6" t="inlineStr">
        <is>
          <t>Adulto</t>
        </is>
      </c>
      <c r="G134" s="6" t="inlineStr">
        <is>
          <t>1990-05-26</t>
        </is>
      </c>
      <c r="H134" s="5" t="inlineStr">
        <is>
          <t>SANITAS</t>
        </is>
      </c>
      <c r="I134" s="6" t="inlineStr">
        <is>
          <t>3417837875</t>
        </is>
      </c>
      <c r="J134" s="6" t="inlineStr">
        <is>
          <t>3396723174</t>
        </is>
      </c>
      <c r="K134" s="6" t="inlineStr">
        <is>
          <t>18:16:00</t>
        </is>
      </c>
      <c r="L134" s="5" t="inlineStr">
        <is>
          <t>Paro cardiorrespiratorio</t>
        </is>
      </c>
      <c r="M134" s="9" t="inlineStr">
        <is>
          <t>T1 · ROJO</t>
        </is>
      </c>
      <c r="N134" s="6" t="n">
        <v>60</v>
      </c>
      <c r="O134" s="6" t="n">
        <v>101</v>
      </c>
      <c r="P134" s="5" t="inlineStr">
        <is>
          <t>Sofía Torres</t>
        </is>
      </c>
    </row>
    <row r="135">
      <c r="A135" s="4" t="n">
        <v>79</v>
      </c>
      <c r="B135" s="5" t="inlineStr">
        <is>
          <t>María Cruz Herrera</t>
        </is>
      </c>
      <c r="C135" s="6" t="inlineStr">
        <is>
          <t>38090769</t>
        </is>
      </c>
      <c r="D135" s="6" t="inlineStr">
        <is>
          <t>F</t>
        </is>
      </c>
      <c r="E135" s="6" t="n">
        <v>62</v>
      </c>
      <c r="F135" s="6" t="inlineStr">
        <is>
          <t>Adulto mayor</t>
        </is>
      </c>
      <c r="G135" s="6" t="inlineStr">
        <is>
          <t>1964-05-26</t>
        </is>
      </c>
      <c r="H135" s="5" t="inlineStr">
        <is>
          <t>MEDIMAS</t>
        </is>
      </c>
      <c r="I135" s="6" t="inlineStr">
        <is>
          <t>3284893031</t>
        </is>
      </c>
      <c r="J135" s="6" t="inlineStr">
        <is>
          <t>3742310626</t>
        </is>
      </c>
      <c r="K135" s="6" t="inlineStr">
        <is>
          <t>18:27:00</t>
        </is>
      </c>
      <c r="L135" s="5" t="inlineStr">
        <is>
          <t>Paro cardiorrespiratorio</t>
        </is>
      </c>
      <c r="M135" s="9" t="inlineStr">
        <is>
          <t>T1 · ROJO</t>
        </is>
      </c>
      <c r="N135" s="6" t="n">
        <v>60</v>
      </c>
      <c r="O135" s="6" t="n">
        <v>106</v>
      </c>
      <c r="P135" s="5" t="inlineStr">
        <is>
          <t>Andrés Martínez</t>
        </is>
      </c>
    </row>
    <row r="136">
      <c r="A136" s="4" t="n">
        <v>25</v>
      </c>
      <c r="B136" s="5" t="inlineStr">
        <is>
          <t>Alejandra Medina Ríos</t>
        </is>
      </c>
      <c r="C136" s="6" t="inlineStr">
        <is>
          <t>28067560</t>
        </is>
      </c>
      <c r="D136" s="6" t="inlineStr">
        <is>
          <t>F</t>
        </is>
      </c>
      <c r="E136" s="6" t="n">
        <v>54</v>
      </c>
      <c r="F136" s="6" t="inlineStr">
        <is>
          <t>Adulto</t>
        </is>
      </c>
      <c r="G136" s="6" t="inlineStr">
        <is>
          <t>1972-05-26</t>
        </is>
      </c>
      <c r="H136" s="5" t="inlineStr">
        <is>
          <t>SALUD TOTAL</t>
        </is>
      </c>
      <c r="I136" s="6" t="inlineStr">
        <is>
          <t>3792296018</t>
        </is>
      </c>
      <c r="J136" s="6" t="inlineStr">
        <is>
          <t>3405035002</t>
        </is>
      </c>
      <c r="K136" s="6" t="inlineStr">
        <is>
          <t>18:44:00</t>
        </is>
      </c>
      <c r="L136" s="5" t="inlineStr">
        <is>
          <t>Herida con sangrado moderado</t>
        </is>
      </c>
      <c r="M136" s="8" t="inlineStr">
        <is>
          <t>T4 · VERDE</t>
        </is>
      </c>
      <c r="N136" s="6" t="n">
        <v>20</v>
      </c>
      <c r="O136" s="6" t="n">
        <v>21</v>
      </c>
      <c r="P136" s="5" t="inlineStr">
        <is>
          <t>Felipe Herrera</t>
        </is>
      </c>
    </row>
    <row r="137">
      <c r="A137" s="4" t="n">
        <v>14</v>
      </c>
      <c r="B137" s="5" t="inlineStr">
        <is>
          <t>Valentina Herrera López</t>
        </is>
      </c>
      <c r="C137" s="6" t="inlineStr">
        <is>
          <t>62213686</t>
        </is>
      </c>
      <c r="D137" s="6" t="inlineStr">
        <is>
          <t>F</t>
        </is>
      </c>
      <c r="E137" s="6" t="n">
        <v>48</v>
      </c>
      <c r="F137" s="6" t="inlineStr">
        <is>
          <t>Adulto</t>
        </is>
      </c>
      <c r="G137" s="6" t="inlineStr">
        <is>
          <t>1978-05-26</t>
        </is>
      </c>
      <c r="H137" s="5" t="inlineStr">
        <is>
          <t>ALIANSALUD</t>
        </is>
      </c>
      <c r="I137" s="6" t="inlineStr">
        <is>
          <t>3997419873</t>
        </is>
      </c>
      <c r="J137" s="6" t="inlineStr">
        <is>
          <t>3339039197</t>
        </is>
      </c>
      <c r="K137" s="6" t="inlineStr">
        <is>
          <t>18:45:00</t>
        </is>
      </c>
      <c r="L137" s="5" t="inlineStr">
        <is>
          <t>Fractura con compromiso vascular</t>
        </is>
      </c>
      <c r="M137" s="7" t="inlineStr">
        <is>
          <t>T3 · AMARILLO</t>
        </is>
      </c>
      <c r="N137" s="6" t="n">
        <v>35</v>
      </c>
      <c r="O137" s="6" t="n">
        <v>35</v>
      </c>
      <c r="P137" s="5" t="inlineStr">
        <is>
          <t>Sofía Torres</t>
        </is>
      </c>
    </row>
    <row r="138">
      <c r="A138" s="4" t="n">
        <v>115</v>
      </c>
      <c r="B138" s="5" t="inlineStr">
        <is>
          <t>Carlos Cárdenas Moreno</t>
        </is>
      </c>
      <c r="C138" s="6" t="inlineStr">
        <is>
          <t>34614782</t>
        </is>
      </c>
      <c r="D138" s="6" t="inlineStr">
        <is>
          <t>M</t>
        </is>
      </c>
      <c r="E138" s="6" t="n">
        <v>49</v>
      </c>
      <c r="F138" s="6" t="inlineStr">
        <is>
          <t>Adulto</t>
        </is>
      </c>
      <c r="G138" s="6" t="inlineStr">
        <is>
          <t>1977-05-26</t>
        </is>
      </c>
      <c r="H138" s="5" t="inlineStr">
        <is>
          <t>COOMEVA</t>
        </is>
      </c>
      <c r="I138" s="6" t="inlineStr">
        <is>
          <t>3747995945</t>
        </is>
      </c>
      <c r="J138" s="6" t="inlineStr">
        <is>
          <t>3403531357</t>
        </is>
      </c>
      <c r="K138" s="6" t="inlineStr">
        <is>
          <t>18:48:00</t>
        </is>
      </c>
      <c r="L138" s="5" t="inlineStr">
        <is>
          <t>Fractura con compromiso vascular</t>
        </is>
      </c>
      <c r="M138" s="7" t="inlineStr">
        <is>
          <t>T3 · AMARILLO</t>
        </is>
      </c>
      <c r="N138" s="6" t="n">
        <v>35</v>
      </c>
      <c r="O138" s="6" t="n">
        <v>82</v>
      </c>
      <c r="P138" s="5" t="inlineStr">
        <is>
          <t>Sofía Torres</t>
        </is>
      </c>
    </row>
    <row r="139">
      <c r="A139" s="4" t="n">
        <v>126</v>
      </c>
      <c r="B139" s="5" t="inlineStr">
        <is>
          <t>Andrés Castro Castro</t>
        </is>
      </c>
      <c r="C139" s="6" t="inlineStr">
        <is>
          <t>84680896</t>
        </is>
      </c>
      <c r="D139" s="6" t="inlineStr">
        <is>
          <t>M</t>
        </is>
      </c>
      <c r="E139" s="6" t="n">
        <v>90</v>
      </c>
      <c r="F139" s="6" t="inlineStr">
        <is>
          <t>Anciano</t>
        </is>
      </c>
      <c r="G139" s="6" t="inlineStr">
        <is>
          <t>1936-05-26</t>
        </is>
      </c>
      <c r="H139" s="5" t="inlineStr">
        <is>
          <t>SURA</t>
        </is>
      </c>
      <c r="I139" s="6" t="inlineStr">
        <is>
          <t>3438559473</t>
        </is>
      </c>
      <c r="J139" s="6" t="inlineStr">
        <is>
          <t>3831521724</t>
        </is>
      </c>
      <c r="K139" s="6" t="inlineStr">
        <is>
          <t>18:55:00</t>
        </is>
      </c>
      <c r="L139" s="5" t="inlineStr">
        <is>
          <t>Dificultad respiratoria severa</t>
        </is>
      </c>
      <c r="M139" s="11" t="inlineStr">
        <is>
          <t>T2 · NARANJA</t>
        </is>
      </c>
      <c r="N139" s="6" t="n">
        <v>45</v>
      </c>
      <c r="O139" s="6" t="n">
        <v>100</v>
      </c>
      <c r="P139" s="5" t="inlineStr">
        <is>
          <t>Felipe Herrera</t>
        </is>
      </c>
    </row>
    <row r="140">
      <c r="A140" s="4" t="n">
        <v>8</v>
      </c>
      <c r="B140" s="5" t="inlineStr">
        <is>
          <t>María Morales Cárdenas</t>
        </is>
      </c>
      <c r="C140" s="6" t="inlineStr">
        <is>
          <t>69589152</t>
        </is>
      </c>
      <c r="D140" s="6" t="inlineStr">
        <is>
          <t>F</t>
        </is>
      </c>
      <c r="E140" s="6" t="n">
        <v>27</v>
      </c>
      <c r="F140" s="6" t="inlineStr">
        <is>
          <t>Adulto</t>
        </is>
      </c>
      <c r="G140" s="6" t="inlineStr">
        <is>
          <t>1999-05-26</t>
        </is>
      </c>
      <c r="H140" s="5" t="inlineStr">
        <is>
          <t>COMPENSAR</t>
        </is>
      </c>
      <c r="I140" s="6" t="inlineStr">
        <is>
          <t>3965189616</t>
        </is>
      </c>
      <c r="J140" s="6" t="inlineStr">
        <is>
          <t>3595972376</t>
        </is>
      </c>
      <c r="K140" s="6" t="inlineStr">
        <is>
          <t>18:57:00</t>
        </is>
      </c>
      <c r="L140" s="5" t="inlineStr">
        <is>
          <t>Herida con sangrado moderado</t>
        </is>
      </c>
      <c r="M140" s="8" t="inlineStr">
        <is>
          <t>T4 · VERDE</t>
        </is>
      </c>
      <c r="N140" s="6" t="n">
        <v>20</v>
      </c>
      <c r="O140" s="6" t="n">
        <v>13</v>
      </c>
      <c r="P140" s="5" t="inlineStr">
        <is>
          <t>Andrés Martínez</t>
        </is>
      </c>
    </row>
    <row r="141">
      <c r="A141" s="4" t="n">
        <v>124</v>
      </c>
      <c r="B141" s="5" t="inlineStr">
        <is>
          <t>Daniel Pardo Martínez</t>
        </is>
      </c>
      <c r="C141" s="6" t="inlineStr">
        <is>
          <t>15121697</t>
        </is>
      </c>
      <c r="D141" s="6" t="inlineStr">
        <is>
          <t>M</t>
        </is>
      </c>
      <c r="E141" s="6" t="n">
        <v>78</v>
      </c>
      <c r="F141" s="6" t="inlineStr">
        <is>
          <t>Anciano</t>
        </is>
      </c>
      <c r="G141" s="6" t="inlineStr">
        <is>
          <t>1948-05-26</t>
        </is>
      </c>
      <c r="H141" s="5" t="inlineStr">
        <is>
          <t>MEDIMAS</t>
        </is>
      </c>
      <c r="I141" s="6" t="inlineStr">
        <is>
          <t>3846025322</t>
        </is>
      </c>
      <c r="J141" s="6" t="inlineStr">
        <is>
          <t>3377631531</t>
        </is>
      </c>
      <c r="K141" s="6" t="inlineStr">
        <is>
          <t>19:08:00</t>
        </is>
      </c>
      <c r="L141" s="5" t="inlineStr">
        <is>
          <t>Consulta menor (gripe, tos)</t>
        </is>
      </c>
      <c r="M141" s="10" t="inlineStr">
        <is>
          <t>T5 · AZUL</t>
        </is>
      </c>
      <c r="N141" s="6" t="n">
        <v>10</v>
      </c>
      <c r="O141" s="6" t="n">
        <v>58</v>
      </c>
      <c r="P141" s="5" t="inlineStr">
        <is>
          <t>Carlos Ramírez</t>
        </is>
      </c>
    </row>
    <row r="142">
      <c r="A142" s="4" t="n">
        <v>137</v>
      </c>
      <c r="B142" s="5" t="inlineStr">
        <is>
          <t>David Torres Martínez</t>
        </is>
      </c>
      <c r="C142" s="6" t="inlineStr">
        <is>
          <t>65149961</t>
        </is>
      </c>
      <c r="D142" s="6" t="inlineStr">
        <is>
          <t>M</t>
        </is>
      </c>
      <c r="E142" s="6" t="n">
        <v>74</v>
      </c>
      <c r="F142" s="6" t="inlineStr">
        <is>
          <t>Adulto mayor</t>
        </is>
      </c>
      <c r="G142" s="6" t="inlineStr">
        <is>
          <t>1952-05-26</t>
        </is>
      </c>
      <c r="H142" s="5" t="inlineStr">
        <is>
          <t>COMPENSAR</t>
        </is>
      </c>
      <c r="I142" s="6" t="inlineStr">
        <is>
          <t>3175548688</t>
        </is>
      </c>
      <c r="J142" s="6" t="inlineStr">
        <is>
          <t>3504328459</t>
        </is>
      </c>
      <c r="K142" s="6" t="inlineStr">
        <is>
          <t>19:21:00</t>
        </is>
      </c>
      <c r="L142" s="5" t="inlineStr">
        <is>
          <t>Dificultad respiratoria severa</t>
        </is>
      </c>
      <c r="M142" s="11" t="inlineStr">
        <is>
          <t>T2 · NARANJA</t>
        </is>
      </c>
      <c r="N142" s="6" t="n">
        <v>45</v>
      </c>
      <c r="O142" s="6" t="n">
        <v>54</v>
      </c>
      <c r="P142" s="5" t="inlineStr">
        <is>
          <t>Andrés Martínez</t>
        </is>
      </c>
    </row>
    <row r="143">
      <c r="A143" s="4" t="n">
        <v>80</v>
      </c>
      <c r="B143" s="5" t="inlineStr">
        <is>
          <t>Miguel Vargas Sánchez</t>
        </is>
      </c>
      <c r="C143" s="6" t="inlineStr">
        <is>
          <t>49239060</t>
        </is>
      </c>
      <c r="D143" s="6" t="inlineStr">
        <is>
          <t>M</t>
        </is>
      </c>
      <c r="E143" s="6" t="n">
        <v>54</v>
      </c>
      <c r="F143" s="6" t="inlineStr">
        <is>
          <t>Adulto</t>
        </is>
      </c>
      <c r="G143" s="6" t="inlineStr">
        <is>
          <t>1972-05-26</t>
        </is>
      </c>
      <c r="H143" s="5" t="inlineStr">
        <is>
          <t>MEDIMAS</t>
        </is>
      </c>
      <c r="I143" s="6" t="inlineStr">
        <is>
          <t>3274870126</t>
        </is>
      </c>
      <c r="J143" s="6" t="inlineStr">
        <is>
          <t>3287845869</t>
        </is>
      </c>
      <c r="K143" s="6" t="inlineStr">
        <is>
          <t>19:24:00</t>
        </is>
      </c>
      <c r="L143" s="5" t="inlineStr">
        <is>
          <t>Dolor abdominal agudo</t>
        </is>
      </c>
      <c r="M143" s="7" t="inlineStr">
        <is>
          <t>T3 · AMARILLO</t>
        </is>
      </c>
      <c r="N143" s="6" t="n">
        <v>30</v>
      </c>
      <c r="O143" s="6" t="n">
        <v>93</v>
      </c>
      <c r="P143" s="5" t="inlineStr">
        <is>
          <t>Laura Gómez</t>
        </is>
      </c>
    </row>
    <row r="144">
      <c r="A144" s="4" t="n">
        <v>32</v>
      </c>
      <c r="B144" s="5" t="inlineStr">
        <is>
          <t>Santiago Ramírez Ospina</t>
        </is>
      </c>
      <c r="C144" s="6" t="inlineStr">
        <is>
          <t>76328495</t>
        </is>
      </c>
      <c r="D144" s="6" t="inlineStr">
        <is>
          <t>M</t>
        </is>
      </c>
      <c r="E144" s="6" t="n">
        <v>73</v>
      </c>
      <c r="F144" s="6" t="inlineStr">
        <is>
          <t>Adulto mayor</t>
        </is>
      </c>
      <c r="G144" s="6" t="inlineStr">
        <is>
          <t>1953-05-26</t>
        </is>
      </c>
      <c r="H144" s="5" t="inlineStr">
        <is>
          <t>ALIANSALUD</t>
        </is>
      </c>
      <c r="I144" s="6" t="inlineStr">
        <is>
          <t>3989968851</t>
        </is>
      </c>
      <c r="J144" s="6" t="inlineStr">
        <is>
          <t>3235807261</t>
        </is>
      </c>
      <c r="K144" s="6" t="inlineStr">
        <is>
          <t>19:53:00</t>
        </is>
      </c>
      <c r="L144" s="5" t="inlineStr">
        <is>
          <t>Dolor abdominal agudo</t>
        </is>
      </c>
      <c r="M144" s="7" t="inlineStr">
        <is>
          <t>T3 · AMARILLO</t>
        </is>
      </c>
      <c r="N144" s="6" t="n">
        <v>30</v>
      </c>
      <c r="O144" s="6" t="n">
        <v>65</v>
      </c>
      <c r="P144" s="5" t="inlineStr">
        <is>
          <t>Laura Gómez</t>
        </is>
      </c>
    </row>
    <row r="145">
      <c r="A145" s="4" t="n">
        <v>109</v>
      </c>
      <c r="B145" s="5" t="inlineStr">
        <is>
          <t>Carlos Morales Pardo</t>
        </is>
      </c>
      <c r="C145" s="6" t="inlineStr">
        <is>
          <t>32586071</t>
        </is>
      </c>
      <c r="D145" s="6" t="inlineStr">
        <is>
          <t>M</t>
        </is>
      </c>
      <c r="E145" s="6" t="n">
        <v>72</v>
      </c>
      <c r="F145" s="6" t="inlineStr">
        <is>
          <t>Adulto mayor</t>
        </is>
      </c>
      <c r="G145" s="6" t="inlineStr">
        <is>
          <t>1954-05-26</t>
        </is>
      </c>
      <c r="H145" s="5" t="inlineStr">
        <is>
          <t>NUEVA EPS</t>
        </is>
      </c>
      <c r="I145" s="6" t="inlineStr">
        <is>
          <t>3316069045</t>
        </is>
      </c>
      <c r="J145" s="6" t="inlineStr">
        <is>
          <t>3417523395</t>
        </is>
      </c>
      <c r="K145" s="6" t="inlineStr">
        <is>
          <t>19:57:00</t>
        </is>
      </c>
      <c r="L145" s="5" t="inlineStr">
        <is>
          <t>Dolor abdominal agudo</t>
        </is>
      </c>
      <c r="M145" s="7" t="inlineStr">
        <is>
          <t>T3 · AMARILLO</t>
        </is>
      </c>
      <c r="N145" s="6" t="n">
        <v>30</v>
      </c>
      <c r="O145" s="6" t="n">
        <v>108</v>
      </c>
      <c r="P145" s="5" t="inlineStr">
        <is>
          <t>Andrés Martínez</t>
        </is>
      </c>
    </row>
    <row r="146">
      <c r="A146" s="4" t="n">
        <v>129</v>
      </c>
      <c r="B146" s="5" t="inlineStr">
        <is>
          <t>Felipe Alvarado Moreno</t>
        </is>
      </c>
      <c r="C146" s="6" t="inlineStr">
        <is>
          <t>74838512</t>
        </is>
      </c>
      <c r="D146" s="6" t="inlineStr">
        <is>
          <t>M</t>
        </is>
      </c>
      <c r="E146" s="6" t="n">
        <v>88</v>
      </c>
      <c r="F146" s="6" t="inlineStr">
        <is>
          <t>Anciano</t>
        </is>
      </c>
      <c r="G146" s="6" t="inlineStr">
        <is>
          <t>1938-05-26</t>
        </is>
      </c>
      <c r="H146" s="5" t="inlineStr">
        <is>
          <t>ALIANSALUD</t>
        </is>
      </c>
      <c r="I146" s="6" t="inlineStr">
        <is>
          <t>3544434897</t>
        </is>
      </c>
      <c r="J146" s="6" t="inlineStr">
        <is>
          <t>3356793098</t>
        </is>
      </c>
      <c r="K146" s="6" t="inlineStr">
        <is>
          <t>20:00:00</t>
        </is>
      </c>
      <c r="L146" s="5" t="inlineStr">
        <is>
          <t>Fractura con compromiso vascular</t>
        </is>
      </c>
      <c r="M146" s="7" t="inlineStr">
        <is>
          <t>T3 · AMARILLO</t>
        </is>
      </c>
      <c r="N146" s="6" t="n">
        <v>35</v>
      </c>
      <c r="O146" s="6" t="n">
        <v>82</v>
      </c>
      <c r="P146" s="5" t="inlineStr">
        <is>
          <t>Carlos Ramírez</t>
        </is>
      </c>
    </row>
    <row r="147">
      <c r="A147" s="4" t="n">
        <v>140</v>
      </c>
      <c r="B147" s="5" t="inlineStr">
        <is>
          <t>Jorge Sánchez Cruz</t>
        </is>
      </c>
      <c r="C147" s="6" t="inlineStr">
        <is>
          <t>41417259</t>
        </is>
      </c>
      <c r="D147" s="6" t="inlineStr">
        <is>
          <t>M</t>
        </is>
      </c>
      <c r="E147" s="6" t="n">
        <v>40</v>
      </c>
      <c r="F147" s="6" t="inlineStr">
        <is>
          <t>Adulto</t>
        </is>
      </c>
      <c r="G147" s="6" t="inlineStr">
        <is>
          <t>1986-05-26</t>
        </is>
      </c>
      <c r="H147" s="5" t="inlineStr">
        <is>
          <t>SALUD TOTAL</t>
        </is>
      </c>
      <c r="I147" s="6" t="inlineStr">
        <is>
          <t>3718840592</t>
        </is>
      </c>
      <c r="J147" s="6" t="inlineStr">
        <is>
          <t>3501594578</t>
        </is>
      </c>
      <c r="K147" s="6" t="inlineStr">
        <is>
          <t>20:01:00</t>
        </is>
      </c>
      <c r="L147" s="5" t="inlineStr">
        <is>
          <t>Dolor leve / Malestar general</t>
        </is>
      </c>
      <c r="M147" s="10" t="inlineStr">
        <is>
          <t>T5 · AZUL</t>
        </is>
      </c>
      <c r="N147" s="6" t="n">
        <v>15</v>
      </c>
      <c r="O147" s="6" t="n">
        <v>37</v>
      </c>
      <c r="P147" s="5" t="inlineStr">
        <is>
          <t>Laura Gómez</t>
        </is>
      </c>
    </row>
    <row r="148">
      <c r="A148" s="4" t="n">
        <v>92</v>
      </c>
      <c r="B148" s="5" t="inlineStr">
        <is>
          <t>Daniel Moreno Alvarado</t>
        </is>
      </c>
      <c r="C148" s="6" t="inlineStr">
        <is>
          <t>82784371</t>
        </is>
      </c>
      <c r="D148" s="6" t="inlineStr">
        <is>
          <t>M</t>
        </is>
      </c>
      <c r="E148" s="6" t="n">
        <v>63</v>
      </c>
      <c r="F148" s="6" t="inlineStr">
        <is>
          <t>Adulto mayor</t>
        </is>
      </c>
      <c r="G148" s="6" t="inlineStr">
        <is>
          <t>1963-05-26</t>
        </is>
      </c>
      <c r="H148" s="5" t="inlineStr">
        <is>
          <t>SANITAS</t>
        </is>
      </c>
      <c r="I148" s="6" t="inlineStr">
        <is>
          <t>3871667512</t>
        </is>
      </c>
      <c r="J148" s="6" t="inlineStr">
        <is>
          <t>3184837789</t>
        </is>
      </c>
      <c r="K148" s="6" t="inlineStr">
        <is>
          <t>20:04:00</t>
        </is>
      </c>
      <c r="L148" s="5" t="inlineStr">
        <is>
          <t>Fiebre alta con convulsión</t>
        </is>
      </c>
      <c r="M148" s="8" t="inlineStr">
        <is>
          <t>T4 · VERDE</t>
        </is>
      </c>
      <c r="N148" s="6" t="n">
        <v>25</v>
      </c>
      <c r="O148" s="6" t="n">
        <v>76</v>
      </c>
      <c r="P148" s="5" t="inlineStr">
        <is>
          <t>Carlos Ramírez</t>
        </is>
      </c>
    </row>
    <row r="149">
      <c r="A149" s="4" t="n">
        <v>121</v>
      </c>
      <c r="B149" s="5" t="inlineStr">
        <is>
          <t>Jorge Cárdenas López</t>
        </is>
      </c>
      <c r="C149" s="6" t="inlineStr">
        <is>
          <t>69904100</t>
        </is>
      </c>
      <c r="D149" s="6" t="inlineStr">
        <is>
          <t>M</t>
        </is>
      </c>
      <c r="E149" s="6" t="n">
        <v>81</v>
      </c>
      <c r="F149" s="6" t="inlineStr">
        <is>
          <t>Anciano</t>
        </is>
      </c>
      <c r="G149" s="6" t="inlineStr">
        <is>
          <t>1945-05-26</t>
        </is>
      </c>
      <c r="H149" s="5" t="inlineStr">
        <is>
          <t>CAJACOPI</t>
        </is>
      </c>
      <c r="I149" s="6" t="inlineStr">
        <is>
          <t>3136073252</t>
        </is>
      </c>
      <c r="J149" s="6" t="inlineStr">
        <is>
          <t>3571710392</t>
        </is>
      </c>
      <c r="K149" s="6" t="inlineStr">
        <is>
          <t>20:30:00</t>
        </is>
      </c>
      <c r="L149" s="5" t="inlineStr">
        <is>
          <t>Consulta menor (gripe, tos)</t>
        </is>
      </c>
      <c r="M149" s="10" t="inlineStr">
        <is>
          <t>T5 · AZUL</t>
        </is>
      </c>
      <c r="N149" s="6" t="n">
        <v>10</v>
      </c>
      <c r="O149" s="6" t="n">
        <v>2</v>
      </c>
      <c r="P149" s="5" t="inlineStr">
        <is>
          <t>Sofía Torres</t>
        </is>
      </c>
    </row>
    <row r="150">
      <c r="A150" s="4" t="n">
        <v>3</v>
      </c>
      <c r="B150" s="5" t="inlineStr">
        <is>
          <t>Natalia Jiménez Díaz</t>
        </is>
      </c>
      <c r="C150" s="6" t="inlineStr">
        <is>
          <t>20846997</t>
        </is>
      </c>
      <c r="D150" s="6" t="inlineStr">
        <is>
          <t>F</t>
        </is>
      </c>
      <c r="E150" s="6" t="n">
        <v>53</v>
      </c>
      <c r="F150" s="6" t="inlineStr">
        <is>
          <t>Adulto</t>
        </is>
      </c>
      <c r="G150" s="6" t="inlineStr">
        <is>
          <t>1973-05-26</t>
        </is>
      </c>
      <c r="H150" s="5" t="inlineStr">
        <is>
          <t>COMPENSAR</t>
        </is>
      </c>
      <c r="I150" s="6" t="inlineStr">
        <is>
          <t>3308410741</t>
        </is>
      </c>
      <c r="J150" s="6" t="inlineStr">
        <is>
          <t>3863980060</t>
        </is>
      </c>
      <c r="K150" s="6" t="inlineStr">
        <is>
          <t>20:35:00</t>
        </is>
      </c>
      <c r="L150" s="5" t="inlineStr">
        <is>
          <t>Fractura con compromiso vascular</t>
        </is>
      </c>
      <c r="M150" s="7" t="inlineStr">
        <is>
          <t>T3 · AMARILLO</t>
        </is>
      </c>
      <c r="N150" s="6" t="n">
        <v>35</v>
      </c>
      <c r="O150" s="6" t="n">
        <v>45</v>
      </c>
      <c r="P150" s="5" t="inlineStr">
        <is>
          <t>Laura Gómez</t>
        </is>
      </c>
    </row>
    <row r="151">
      <c r="A151" s="4" t="n">
        <v>31</v>
      </c>
      <c r="B151" s="5" t="inlineStr">
        <is>
          <t>Jorge Pardo Castro</t>
        </is>
      </c>
      <c r="C151" s="6" t="inlineStr">
        <is>
          <t>93338322</t>
        </is>
      </c>
      <c r="D151" s="6" t="inlineStr">
        <is>
          <t>M</t>
        </is>
      </c>
      <c r="E151" s="6" t="n">
        <v>7</v>
      </c>
      <c r="F151" s="6" t="inlineStr">
        <is>
          <t>Menor de edad</t>
        </is>
      </c>
      <c r="G151" s="6" t="inlineStr">
        <is>
          <t>2019-05-26</t>
        </is>
      </c>
      <c r="H151" s="5" t="inlineStr">
        <is>
          <t>SALUD TOTAL</t>
        </is>
      </c>
      <c r="I151" s="6" t="inlineStr">
        <is>
          <t>3125394352</t>
        </is>
      </c>
      <c r="J151" s="6" t="inlineStr">
        <is>
          <t>3197432779</t>
        </is>
      </c>
      <c r="K151" s="6" t="inlineStr">
        <is>
          <t>20:39:00</t>
        </is>
      </c>
      <c r="L151" s="5" t="inlineStr">
        <is>
          <t>Fractura con compromiso vascular</t>
        </is>
      </c>
      <c r="M151" s="7" t="inlineStr">
        <is>
          <t>T3 · AMARILLO</t>
        </is>
      </c>
      <c r="N151" s="6" t="n">
        <v>35</v>
      </c>
      <c r="O151" s="6" t="n">
        <v>56</v>
      </c>
      <c r="P151" s="5" t="inlineStr">
        <is>
          <t>Sofía Torres</t>
        </is>
      </c>
    </row>
    <row r="152">
      <c r="A152" s="4" t="n">
        <v>23</v>
      </c>
      <c r="B152" s="5" t="inlineStr">
        <is>
          <t>Laura Reyes Ramírez</t>
        </is>
      </c>
      <c r="C152" s="6" t="inlineStr">
        <is>
          <t>37116828</t>
        </is>
      </c>
      <c r="D152" s="6" t="inlineStr">
        <is>
          <t>F</t>
        </is>
      </c>
      <c r="E152" s="6" t="n">
        <v>13</v>
      </c>
      <c r="F152" s="6" t="inlineStr">
        <is>
          <t>Menor de edad</t>
        </is>
      </c>
      <c r="G152" s="6" t="inlineStr">
        <is>
          <t>2013-05-26</t>
        </is>
      </c>
      <c r="H152" s="5" t="inlineStr">
        <is>
          <t>CAJACOPI</t>
        </is>
      </c>
      <c r="I152" s="6" t="inlineStr">
        <is>
          <t>3291054016</t>
        </is>
      </c>
      <c r="J152" s="6" t="inlineStr">
        <is>
          <t>3921597275</t>
        </is>
      </c>
      <c r="K152" s="6" t="inlineStr">
        <is>
          <t>20:41:00</t>
        </is>
      </c>
      <c r="L152" s="5" t="inlineStr">
        <is>
          <t>ACV / Derrame cerebral</t>
        </is>
      </c>
      <c r="M152" s="11" t="inlineStr">
        <is>
          <t>T2 · NARANJA</t>
        </is>
      </c>
      <c r="N152" s="6" t="n">
        <v>50</v>
      </c>
      <c r="O152" s="6" t="n">
        <v>23</v>
      </c>
      <c r="P152" s="5" t="inlineStr">
        <is>
          <t>Felipe Herrera</t>
        </is>
      </c>
    </row>
    <row r="153">
      <c r="A153" s="4" t="n">
        <v>84</v>
      </c>
      <c r="B153" s="5" t="inlineStr">
        <is>
          <t>Camila López Jiménez</t>
        </is>
      </c>
      <c r="C153" s="6" t="inlineStr">
        <is>
          <t>93784155</t>
        </is>
      </c>
      <c r="D153" s="6" t="inlineStr">
        <is>
          <t>F</t>
        </is>
      </c>
      <c r="E153" s="6" t="n">
        <v>75</v>
      </c>
      <c r="F153" s="6" t="inlineStr">
        <is>
          <t>Anciano</t>
        </is>
      </c>
      <c r="G153" s="6" t="inlineStr">
        <is>
          <t>1951-05-26</t>
        </is>
      </c>
      <c r="H153" s="5" t="inlineStr">
        <is>
          <t>SALUD TOTAL</t>
        </is>
      </c>
      <c r="I153" s="6" t="inlineStr">
        <is>
          <t>3159773483</t>
        </is>
      </c>
      <c r="J153" s="6" t="inlineStr">
        <is>
          <t>3509404030</t>
        </is>
      </c>
      <c r="K153" s="6" t="inlineStr">
        <is>
          <t>20:53:00</t>
        </is>
      </c>
      <c r="L153" s="5" t="inlineStr">
        <is>
          <t>Fiebre alta con convulsión</t>
        </is>
      </c>
      <c r="M153" s="8" t="inlineStr">
        <is>
          <t>T4 · VERDE</t>
        </is>
      </c>
      <c r="N153" s="6" t="n">
        <v>25</v>
      </c>
      <c r="O153" s="6" t="n">
        <v>9</v>
      </c>
      <c r="P153" s="5" t="inlineStr">
        <is>
          <t>Felipe Herrera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6" customWidth="1" min="5" max="5"/>
    <col width="6" customWidth="1" min="6" max="6"/>
    <col width="14" customWidth="1" min="7" max="7"/>
    <col width="15" customWidth="1" min="8" max="8"/>
    <col width="16" customWidth="1" min="9" max="9"/>
    <col width="24" customWidth="1" min="10" max="10"/>
  </cols>
  <sheetData>
    <row r="1">
      <c r="A1" s="12" t="inlineStr">
        <is>
          <t>⏳ COLA DE ATENCIÓN — ORDENADA POR PRIORIDAD (MIN-HEAP)</t>
        </is>
      </c>
    </row>
    <row r="2">
      <c r="A2" s="2" t="inlineStr">
        <is>
          <t>Algoritmo: (nivel_triage, peso_edad, hora_registro)  →  menor = atiende primero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T. ATENCIÓN (min)</t>
        </is>
      </c>
      <c r="I3" s="3" t="inlineStr">
        <is>
          <t>ESPERA ACUM. (min)</t>
        </is>
      </c>
      <c r="J3" s="3" t="inlineStr">
        <is>
          <t>DOCTOR</t>
        </is>
      </c>
    </row>
    <row r="4">
      <c r="A4" s="13" t="n">
        <v>1</v>
      </c>
      <c r="B4" s="6" t="n">
        <v>18</v>
      </c>
      <c r="C4" s="5" t="inlineStr">
        <is>
          <t>Santiago Muñoz Torres</t>
        </is>
      </c>
      <c r="D4" s="9" t="inlineStr">
        <is>
          <t>T1 · ROJO</t>
        </is>
      </c>
      <c r="E4" s="5" t="inlineStr">
        <is>
          <t>Politraumatismo grave</t>
        </is>
      </c>
      <c r="F4" s="6" t="n">
        <v>77</v>
      </c>
      <c r="G4" s="6" t="inlineStr">
        <is>
          <t>Anciano</t>
        </is>
      </c>
      <c r="H4" s="6" t="n">
        <v>90</v>
      </c>
      <c r="I4" s="6" t="n">
        <v>0</v>
      </c>
      <c r="J4" s="5" t="inlineStr">
        <is>
          <t>Andrés Martínez</t>
        </is>
      </c>
    </row>
    <row r="5">
      <c r="A5" s="14" t="n">
        <v>2</v>
      </c>
      <c r="B5" s="6" t="n">
        <v>127</v>
      </c>
      <c r="C5" s="5" t="inlineStr">
        <is>
          <t>Ricardo Sánchez Gómez</t>
        </is>
      </c>
      <c r="D5" s="9" t="inlineStr">
        <is>
          <t>T1 · ROJO</t>
        </is>
      </c>
      <c r="E5" s="5" t="inlineStr">
        <is>
          <t>Paro cardiorrespiratorio</t>
        </is>
      </c>
      <c r="F5" s="6" t="n">
        <v>88</v>
      </c>
      <c r="G5" s="6" t="inlineStr">
        <is>
          <t>Anciano</t>
        </is>
      </c>
      <c r="H5" s="6" t="n">
        <v>60</v>
      </c>
      <c r="I5" s="6" t="n">
        <v>90</v>
      </c>
      <c r="J5" s="5" t="inlineStr">
        <is>
          <t>Sofía Torres</t>
        </is>
      </c>
    </row>
    <row r="6">
      <c r="A6" s="13" t="n">
        <v>3</v>
      </c>
      <c r="B6" s="6" t="n">
        <v>16</v>
      </c>
      <c r="C6" s="5" t="inlineStr">
        <is>
          <t>Juliana Pardo Ríos</t>
        </is>
      </c>
      <c r="D6" s="9" t="inlineStr">
        <is>
          <t>T1 · ROJO</t>
        </is>
      </c>
      <c r="E6" s="5" t="inlineStr">
        <is>
          <t>Paro cardiorrespiratorio</t>
        </is>
      </c>
      <c r="F6" s="6" t="n">
        <v>63</v>
      </c>
      <c r="G6" s="6" t="inlineStr">
        <is>
          <t>Adulto mayor</t>
        </is>
      </c>
      <c r="H6" s="6" t="n">
        <v>60</v>
      </c>
      <c r="I6" s="6" t="n">
        <v>150</v>
      </c>
      <c r="J6" s="5" t="inlineStr">
        <is>
          <t>Andrés Martínez</t>
        </is>
      </c>
    </row>
    <row r="7">
      <c r="A7" s="14" t="n">
        <v>4</v>
      </c>
      <c r="B7" s="6" t="n">
        <v>147</v>
      </c>
      <c r="C7" s="5" t="inlineStr">
        <is>
          <t>Alejandra Martínez Alvarado</t>
        </is>
      </c>
      <c r="D7" s="9" t="inlineStr">
        <is>
          <t>T1 · ROJO</t>
        </is>
      </c>
      <c r="E7" s="5" t="inlineStr">
        <is>
          <t>Paro cardiorrespiratorio</t>
        </is>
      </c>
      <c r="F7" s="6" t="n">
        <v>65</v>
      </c>
      <c r="G7" s="6" t="inlineStr">
        <is>
          <t>Adulto mayor</t>
        </is>
      </c>
      <c r="H7" s="6" t="n">
        <v>60</v>
      </c>
      <c r="I7" s="6" t="n">
        <v>210</v>
      </c>
      <c r="J7" s="5" t="inlineStr">
        <is>
          <t>Felipe Herrera</t>
        </is>
      </c>
    </row>
    <row r="8">
      <c r="A8" s="13" t="n">
        <v>5</v>
      </c>
      <c r="B8" s="6" t="n">
        <v>79</v>
      </c>
      <c r="C8" s="5" t="inlineStr">
        <is>
          <t>María Cruz Herrera</t>
        </is>
      </c>
      <c r="D8" s="9" t="inlineStr">
        <is>
          <t>T1 · ROJO</t>
        </is>
      </c>
      <c r="E8" s="5" t="inlineStr">
        <is>
          <t>Paro cardiorrespiratorio</t>
        </is>
      </c>
      <c r="F8" s="6" t="n">
        <v>62</v>
      </c>
      <c r="G8" s="6" t="inlineStr">
        <is>
          <t>Adulto mayor</t>
        </is>
      </c>
      <c r="H8" s="6" t="n">
        <v>60</v>
      </c>
      <c r="I8" s="6" t="n">
        <v>270</v>
      </c>
      <c r="J8" s="5" t="inlineStr">
        <is>
          <t>Andrés Martínez</t>
        </is>
      </c>
    </row>
    <row r="9">
      <c r="A9" s="14" t="n">
        <v>6</v>
      </c>
      <c r="B9" s="6" t="n">
        <v>17</v>
      </c>
      <c r="C9" s="5" t="inlineStr">
        <is>
          <t>Ricardo Medina Torres</t>
        </is>
      </c>
      <c r="D9" s="9" t="inlineStr">
        <is>
          <t>T1 · ROJO</t>
        </is>
      </c>
      <c r="E9" s="5" t="inlineStr">
        <is>
          <t>Paro cardiorrespiratorio</t>
        </is>
      </c>
      <c r="F9" s="6" t="n">
        <v>20</v>
      </c>
      <c r="G9" s="6" t="inlineStr">
        <is>
          <t>Adulto</t>
        </is>
      </c>
      <c r="H9" s="6" t="n">
        <v>60</v>
      </c>
      <c r="I9" s="6" t="n">
        <v>330</v>
      </c>
      <c r="J9" s="5" t="inlineStr">
        <is>
          <t>Felipe Herrera</t>
        </is>
      </c>
    </row>
    <row r="10">
      <c r="A10" s="13" t="n">
        <v>7</v>
      </c>
      <c r="B10" s="6" t="n">
        <v>103</v>
      </c>
      <c r="C10" s="5" t="inlineStr">
        <is>
          <t>Fernanda Moreno Medina</t>
        </is>
      </c>
      <c r="D10" s="9" t="inlineStr">
        <is>
          <t>T1 · ROJO</t>
        </is>
      </c>
      <c r="E10" s="5" t="inlineStr">
        <is>
          <t>Politraumatismo grave</t>
        </is>
      </c>
      <c r="F10" s="6" t="n">
        <v>33</v>
      </c>
      <c r="G10" s="6" t="inlineStr">
        <is>
          <t>Adulto</t>
        </is>
      </c>
      <c r="H10" s="6" t="n">
        <v>90</v>
      </c>
      <c r="I10" s="6" t="n">
        <v>390</v>
      </c>
      <c r="J10" s="5" t="inlineStr">
        <is>
          <t>Carlos Ramírez</t>
        </is>
      </c>
    </row>
    <row r="11">
      <c r="A11" s="14" t="n">
        <v>8</v>
      </c>
      <c r="B11" s="6" t="n">
        <v>130</v>
      </c>
      <c r="C11" s="5" t="inlineStr">
        <is>
          <t>Juliana Alvarado Bernal</t>
        </is>
      </c>
      <c r="D11" s="9" t="inlineStr">
        <is>
          <t>T1 · ROJO</t>
        </is>
      </c>
      <c r="E11" s="5" t="inlineStr">
        <is>
          <t>Paro cardiorrespiratorio</t>
        </is>
      </c>
      <c r="F11" s="6" t="n">
        <v>9</v>
      </c>
      <c r="G11" s="6" t="inlineStr">
        <is>
          <t>Menor de edad</t>
        </is>
      </c>
      <c r="H11" s="6" t="n">
        <v>60</v>
      </c>
      <c r="I11" s="6" t="n">
        <v>480</v>
      </c>
      <c r="J11" s="5" t="inlineStr">
        <is>
          <t>Felipe Herrera</t>
        </is>
      </c>
    </row>
    <row r="12">
      <c r="A12" s="13" t="n">
        <v>9</v>
      </c>
      <c r="B12" s="6" t="n">
        <v>60</v>
      </c>
      <c r="C12" s="5" t="inlineStr">
        <is>
          <t>Daniela Moreno Ospina</t>
        </is>
      </c>
      <c r="D12" s="9" t="inlineStr">
        <is>
          <t>T1 · ROJO</t>
        </is>
      </c>
      <c r="E12" s="5" t="inlineStr">
        <is>
          <t>Paro cardiorrespiratorio</t>
        </is>
      </c>
      <c r="F12" s="6" t="n">
        <v>55</v>
      </c>
      <c r="G12" s="6" t="inlineStr">
        <is>
          <t>Adulto</t>
        </is>
      </c>
      <c r="H12" s="6" t="n">
        <v>60</v>
      </c>
      <c r="I12" s="6" t="n">
        <v>540</v>
      </c>
      <c r="J12" s="5" t="inlineStr">
        <is>
          <t>Carlos Ramírez</t>
        </is>
      </c>
    </row>
    <row r="13">
      <c r="A13" s="14" t="n">
        <v>10</v>
      </c>
      <c r="B13" s="6" t="n">
        <v>148</v>
      </c>
      <c r="C13" s="5" t="inlineStr">
        <is>
          <t>Fernanda Jiménez Jiménez</t>
        </is>
      </c>
      <c r="D13" s="9" t="inlineStr">
        <is>
          <t>T1 · ROJO</t>
        </is>
      </c>
      <c r="E13" s="5" t="inlineStr">
        <is>
          <t>Paro cardiorrespiratorio</t>
        </is>
      </c>
      <c r="F13" s="6" t="n">
        <v>10</v>
      </c>
      <c r="G13" s="6" t="inlineStr">
        <is>
          <t>Menor de edad</t>
        </is>
      </c>
      <c r="H13" s="6" t="n">
        <v>60</v>
      </c>
      <c r="I13" s="6" t="n">
        <v>600</v>
      </c>
      <c r="J13" s="5" t="inlineStr">
        <is>
          <t>Andrés Martínez</t>
        </is>
      </c>
    </row>
    <row r="14">
      <c r="A14" s="13" t="n">
        <v>11</v>
      </c>
      <c r="B14" s="6" t="n">
        <v>83</v>
      </c>
      <c r="C14" s="5" t="inlineStr">
        <is>
          <t>Ricardo Medina Rodríguez</t>
        </is>
      </c>
      <c r="D14" s="9" t="inlineStr">
        <is>
          <t>T1 · ROJO</t>
        </is>
      </c>
      <c r="E14" s="5" t="inlineStr">
        <is>
          <t>Politraumatismo grave</t>
        </is>
      </c>
      <c r="F14" s="6" t="n">
        <v>46</v>
      </c>
      <c r="G14" s="6" t="inlineStr">
        <is>
          <t>Adulto</t>
        </is>
      </c>
      <c r="H14" s="6" t="n">
        <v>90</v>
      </c>
      <c r="I14" s="6" t="n">
        <v>660</v>
      </c>
      <c r="J14" s="5" t="inlineStr">
        <is>
          <t>Andrés Martínez</t>
        </is>
      </c>
    </row>
    <row r="15">
      <c r="A15" s="14" t="n">
        <v>12</v>
      </c>
      <c r="B15" s="6" t="n">
        <v>116</v>
      </c>
      <c r="C15" s="5" t="inlineStr">
        <is>
          <t>Ricardo Ramírez Alvarado</t>
        </is>
      </c>
      <c r="D15" s="9" t="inlineStr">
        <is>
          <t>T1 · ROJO</t>
        </is>
      </c>
      <c r="E15" s="5" t="inlineStr">
        <is>
          <t>Paro cardiorrespiratorio</t>
        </is>
      </c>
      <c r="F15" s="6" t="n">
        <v>56</v>
      </c>
      <c r="G15" s="6" t="inlineStr">
        <is>
          <t>Adulto</t>
        </is>
      </c>
      <c r="H15" s="6" t="n">
        <v>60</v>
      </c>
      <c r="I15" s="6" t="n">
        <v>750</v>
      </c>
      <c r="J15" s="5" t="inlineStr">
        <is>
          <t>Andrés Martínez</t>
        </is>
      </c>
    </row>
    <row r="16">
      <c r="A16" s="13" t="n">
        <v>13</v>
      </c>
      <c r="B16" s="6" t="n">
        <v>53</v>
      </c>
      <c r="C16" s="5" t="inlineStr">
        <is>
          <t>Daniela Cárdenas Rodríguez</t>
        </is>
      </c>
      <c r="D16" s="9" t="inlineStr">
        <is>
          <t>T1 · ROJO</t>
        </is>
      </c>
      <c r="E16" s="5" t="inlineStr">
        <is>
          <t>Paro cardiorrespiratorio</t>
        </is>
      </c>
      <c r="F16" s="6" t="n">
        <v>36</v>
      </c>
      <c r="G16" s="6" t="inlineStr">
        <is>
          <t>Adulto</t>
        </is>
      </c>
      <c r="H16" s="6" t="n">
        <v>60</v>
      </c>
      <c r="I16" s="6" t="n">
        <v>810</v>
      </c>
      <c r="J16" s="5" t="inlineStr">
        <is>
          <t>Sofía Torres</t>
        </is>
      </c>
    </row>
    <row r="17">
      <c r="A17" s="14" t="n">
        <v>14</v>
      </c>
      <c r="B17" s="6" t="n">
        <v>99</v>
      </c>
      <c r="C17" s="5" t="inlineStr">
        <is>
          <t>Mariana Sánchez Ospina</t>
        </is>
      </c>
      <c r="D17" s="11" t="inlineStr">
        <is>
          <t>T2 · NARANJA</t>
        </is>
      </c>
      <c r="E17" s="5" t="inlineStr">
        <is>
          <t>Dificultad respiratoria severa</t>
        </is>
      </c>
      <c r="F17" s="6" t="n">
        <v>79</v>
      </c>
      <c r="G17" s="6" t="inlineStr">
        <is>
          <t>Anciano</t>
        </is>
      </c>
      <c r="H17" s="6" t="n">
        <v>45</v>
      </c>
      <c r="I17" s="6" t="n">
        <v>870</v>
      </c>
      <c r="J17" s="5" t="inlineStr">
        <is>
          <t>Carlos Ramírez</t>
        </is>
      </c>
    </row>
    <row r="18">
      <c r="A18" s="13" t="n">
        <v>15</v>
      </c>
      <c r="B18" s="6" t="n">
        <v>118</v>
      </c>
      <c r="C18" s="5" t="inlineStr">
        <is>
          <t>Andrés Ríos Castro</t>
        </is>
      </c>
      <c r="D18" s="11" t="inlineStr">
        <is>
          <t>T2 · NARANJA</t>
        </is>
      </c>
      <c r="E18" s="5" t="inlineStr">
        <is>
          <t>ACV / Derrame cerebral</t>
        </is>
      </c>
      <c r="F18" s="6" t="n">
        <v>1</v>
      </c>
      <c r="G18" s="6" t="inlineStr">
        <is>
          <t>Neonato</t>
        </is>
      </c>
      <c r="H18" s="6" t="n">
        <v>50</v>
      </c>
      <c r="I18" s="6" t="n">
        <v>915</v>
      </c>
      <c r="J18" s="5" t="inlineStr">
        <is>
          <t>Laura Gómez</t>
        </is>
      </c>
    </row>
    <row r="19">
      <c r="A19" s="14" t="n">
        <v>16</v>
      </c>
      <c r="B19" s="6" t="n">
        <v>97</v>
      </c>
      <c r="C19" s="5" t="inlineStr">
        <is>
          <t>Jorge Díaz Reyes</t>
        </is>
      </c>
      <c r="D19" s="11" t="inlineStr">
        <is>
          <t>T2 · NARANJA</t>
        </is>
      </c>
      <c r="E19" s="5" t="inlineStr">
        <is>
          <t>ACV / Derrame cerebral</t>
        </is>
      </c>
      <c r="F19" s="6" t="n">
        <v>77</v>
      </c>
      <c r="G19" s="6" t="inlineStr">
        <is>
          <t>Anciano</t>
        </is>
      </c>
      <c r="H19" s="6" t="n">
        <v>50</v>
      </c>
      <c r="I19" s="6" t="n">
        <v>965</v>
      </c>
      <c r="J19" s="5" t="inlineStr">
        <is>
          <t>Andrés Martínez</t>
        </is>
      </c>
    </row>
    <row r="20">
      <c r="A20" s="13" t="n">
        <v>17</v>
      </c>
      <c r="B20" s="6" t="n">
        <v>126</v>
      </c>
      <c r="C20" s="5" t="inlineStr">
        <is>
          <t>Andrés Castro Castro</t>
        </is>
      </c>
      <c r="D20" s="11" t="inlineStr">
        <is>
          <t>T2 · NARANJA</t>
        </is>
      </c>
      <c r="E20" s="5" t="inlineStr">
        <is>
          <t>Dificultad respiratoria severa</t>
        </is>
      </c>
      <c r="F20" s="6" t="n">
        <v>90</v>
      </c>
      <c r="G20" s="6" t="inlineStr">
        <is>
          <t>Anciano</t>
        </is>
      </c>
      <c r="H20" s="6" t="n">
        <v>45</v>
      </c>
      <c r="I20" s="6" t="n">
        <v>1015</v>
      </c>
      <c r="J20" s="5" t="inlineStr">
        <is>
          <t>Felipe Herrera</t>
        </is>
      </c>
    </row>
    <row r="21">
      <c r="A21" s="14" t="n">
        <v>18</v>
      </c>
      <c r="B21" s="6" t="n">
        <v>67</v>
      </c>
      <c r="C21" s="5" t="inlineStr">
        <is>
          <t>Sebastián Rodríguez Ramírez</t>
        </is>
      </c>
      <c r="D21" s="11" t="inlineStr">
        <is>
          <t>T2 · NARANJA</t>
        </is>
      </c>
      <c r="E21" s="5" t="inlineStr">
        <is>
          <t>Dificultad respiratoria severa</t>
        </is>
      </c>
      <c r="F21" s="6" t="n">
        <v>5</v>
      </c>
      <c r="G21" s="6" t="inlineStr">
        <is>
          <t>Infante</t>
        </is>
      </c>
      <c r="H21" s="6" t="n">
        <v>45</v>
      </c>
      <c r="I21" s="6" t="n">
        <v>1060</v>
      </c>
      <c r="J21" s="5" t="inlineStr">
        <is>
          <t>Carlos Ramírez</t>
        </is>
      </c>
    </row>
    <row r="22">
      <c r="A22" s="13" t="n">
        <v>19</v>
      </c>
      <c r="B22" s="6" t="n">
        <v>125</v>
      </c>
      <c r="C22" s="5" t="inlineStr">
        <is>
          <t>Camilo Herrera Alvarado</t>
        </is>
      </c>
      <c r="D22" s="11" t="inlineStr">
        <is>
          <t>T2 · NARANJA</t>
        </is>
      </c>
      <c r="E22" s="5" t="inlineStr">
        <is>
          <t>Dificultad respiratoria severa</t>
        </is>
      </c>
      <c r="F22" s="6" t="n">
        <v>2</v>
      </c>
      <c r="G22" s="6" t="inlineStr">
        <is>
          <t>Infante</t>
        </is>
      </c>
      <c r="H22" s="6" t="n">
        <v>45</v>
      </c>
      <c r="I22" s="6" t="n">
        <v>1105</v>
      </c>
      <c r="J22" s="5" t="inlineStr">
        <is>
          <t>Carlos Ramírez</t>
        </is>
      </c>
    </row>
    <row r="23">
      <c r="A23" s="14" t="n">
        <v>20</v>
      </c>
      <c r="B23" s="6" t="n">
        <v>82</v>
      </c>
      <c r="C23" s="5" t="inlineStr">
        <is>
          <t>Mariana Ramírez Medina</t>
        </is>
      </c>
      <c r="D23" s="11" t="inlineStr">
        <is>
          <t>T2 · NARANJA</t>
        </is>
      </c>
      <c r="E23" s="5" t="inlineStr">
        <is>
          <t>Dificultad respiratoria severa</t>
        </is>
      </c>
      <c r="F23" s="6" t="n">
        <v>4</v>
      </c>
      <c r="G23" s="6" t="inlineStr">
        <is>
          <t>Infante</t>
        </is>
      </c>
      <c r="H23" s="6" t="n">
        <v>45</v>
      </c>
      <c r="I23" s="6" t="n">
        <v>1150</v>
      </c>
      <c r="J23" s="5" t="inlineStr">
        <is>
          <t>Sofía Torres</t>
        </is>
      </c>
    </row>
    <row r="24">
      <c r="A24" s="13" t="n">
        <v>21</v>
      </c>
      <c r="B24" s="6" t="n">
        <v>69</v>
      </c>
      <c r="C24" s="5" t="inlineStr">
        <is>
          <t>Carlos Sánchez Díaz</t>
        </is>
      </c>
      <c r="D24" s="11" t="inlineStr">
        <is>
          <t>T2 · NARANJA</t>
        </is>
      </c>
      <c r="E24" s="5" t="inlineStr">
        <is>
          <t>ACV / Derrame cerebral</t>
        </is>
      </c>
      <c r="F24" s="6" t="n">
        <v>72</v>
      </c>
      <c r="G24" s="6" t="inlineStr">
        <is>
          <t>Adulto mayor</t>
        </is>
      </c>
      <c r="H24" s="6" t="n">
        <v>50</v>
      </c>
      <c r="I24" s="6" t="n">
        <v>1195</v>
      </c>
      <c r="J24" s="5" t="inlineStr">
        <is>
          <t>Laura Gómez</t>
        </is>
      </c>
    </row>
    <row r="25">
      <c r="A25" s="14" t="n">
        <v>22</v>
      </c>
      <c r="B25" s="6" t="n">
        <v>40</v>
      </c>
      <c r="C25" s="5" t="inlineStr">
        <is>
          <t>Luis Moreno Pardo</t>
        </is>
      </c>
      <c r="D25" s="11" t="inlineStr">
        <is>
          <t>T2 · NARANJA</t>
        </is>
      </c>
      <c r="E25" s="5" t="inlineStr">
        <is>
          <t>ACV / Derrame cerebral</t>
        </is>
      </c>
      <c r="F25" s="6" t="n">
        <v>61</v>
      </c>
      <c r="G25" s="6" t="inlineStr">
        <is>
          <t>Adulto mayor</t>
        </is>
      </c>
      <c r="H25" s="6" t="n">
        <v>50</v>
      </c>
      <c r="I25" s="6" t="n">
        <v>1245</v>
      </c>
      <c r="J25" s="5" t="inlineStr">
        <is>
          <t>Felipe Herrera</t>
        </is>
      </c>
    </row>
    <row r="26">
      <c r="A26" s="13" t="n">
        <v>23</v>
      </c>
      <c r="B26" s="6" t="n">
        <v>101</v>
      </c>
      <c r="C26" s="5" t="inlineStr">
        <is>
          <t>Natalia Muñoz Pardo</t>
        </is>
      </c>
      <c r="D26" s="11" t="inlineStr">
        <is>
          <t>T2 · NARANJA</t>
        </is>
      </c>
      <c r="E26" s="5" t="inlineStr">
        <is>
          <t>Dificultad respiratoria severa</t>
        </is>
      </c>
      <c r="F26" s="6" t="n">
        <v>63</v>
      </c>
      <c r="G26" s="6" t="inlineStr">
        <is>
          <t>Adulto mayor</t>
        </is>
      </c>
      <c r="H26" s="6" t="n">
        <v>45</v>
      </c>
      <c r="I26" s="6" t="n">
        <v>1295</v>
      </c>
      <c r="J26" s="5" t="inlineStr">
        <is>
          <t>Laura Gómez</t>
        </is>
      </c>
    </row>
    <row r="27">
      <c r="A27" s="14" t="n">
        <v>24</v>
      </c>
      <c r="B27" s="6" t="n">
        <v>45</v>
      </c>
      <c r="C27" s="5" t="inlineStr">
        <is>
          <t>María Muñoz Cárdenas</t>
        </is>
      </c>
      <c r="D27" s="11" t="inlineStr">
        <is>
          <t>T2 · NARANJA</t>
        </is>
      </c>
      <c r="E27" s="5" t="inlineStr">
        <is>
          <t>Dificultad respiratoria severa</t>
        </is>
      </c>
      <c r="F27" s="6" t="n">
        <v>61</v>
      </c>
      <c r="G27" s="6" t="inlineStr">
        <is>
          <t>Adulto mayor</t>
        </is>
      </c>
      <c r="H27" s="6" t="n">
        <v>45</v>
      </c>
      <c r="I27" s="6" t="n">
        <v>1340</v>
      </c>
      <c r="J27" s="5" t="inlineStr">
        <is>
          <t>Andrés Martínez</t>
        </is>
      </c>
    </row>
    <row r="28">
      <c r="A28" s="13" t="n">
        <v>25</v>
      </c>
      <c r="B28" s="6" t="n">
        <v>22</v>
      </c>
      <c r="C28" s="5" t="inlineStr">
        <is>
          <t>Santiago Muñoz Ramírez</t>
        </is>
      </c>
      <c r="D28" s="11" t="inlineStr">
        <is>
          <t>T2 · NARANJA</t>
        </is>
      </c>
      <c r="E28" s="5" t="inlineStr">
        <is>
          <t>ACV / Derrame cerebral</t>
        </is>
      </c>
      <c r="F28" s="6" t="n">
        <v>72</v>
      </c>
      <c r="G28" s="6" t="inlineStr">
        <is>
          <t>Adulto mayor</t>
        </is>
      </c>
      <c r="H28" s="6" t="n">
        <v>50</v>
      </c>
      <c r="I28" s="6" t="n">
        <v>1385</v>
      </c>
      <c r="J28" s="5" t="inlineStr">
        <is>
          <t>Laura Gómez</t>
        </is>
      </c>
    </row>
    <row r="29">
      <c r="A29" s="14" t="n">
        <v>26</v>
      </c>
      <c r="B29" s="6" t="n">
        <v>137</v>
      </c>
      <c r="C29" s="5" t="inlineStr">
        <is>
          <t>David Torres Martínez</t>
        </is>
      </c>
      <c r="D29" s="11" t="inlineStr">
        <is>
          <t>T2 · NARANJA</t>
        </is>
      </c>
      <c r="E29" s="5" t="inlineStr">
        <is>
          <t>Dificultad respiratoria severa</t>
        </is>
      </c>
      <c r="F29" s="6" t="n">
        <v>74</v>
      </c>
      <c r="G29" s="6" t="inlineStr">
        <is>
          <t>Adulto mayor</t>
        </is>
      </c>
      <c r="H29" s="6" t="n">
        <v>45</v>
      </c>
      <c r="I29" s="6" t="n">
        <v>1435</v>
      </c>
      <c r="J29" s="5" t="inlineStr">
        <is>
          <t>Andrés Martínez</t>
        </is>
      </c>
    </row>
    <row r="30">
      <c r="A30" s="13" t="n">
        <v>27</v>
      </c>
      <c r="B30" s="6" t="n">
        <v>70</v>
      </c>
      <c r="C30" s="5" t="inlineStr">
        <is>
          <t>Jorge Herrera Ríos</t>
        </is>
      </c>
      <c r="D30" s="11" t="inlineStr">
        <is>
          <t>T2 · NARANJA</t>
        </is>
      </c>
      <c r="E30" s="5" t="inlineStr">
        <is>
          <t>Dificultad respiratoria severa</t>
        </is>
      </c>
      <c r="F30" s="6" t="n">
        <v>49</v>
      </c>
      <c r="G30" s="6" t="inlineStr">
        <is>
          <t>Adulto</t>
        </is>
      </c>
      <c r="H30" s="6" t="n">
        <v>45</v>
      </c>
      <c r="I30" s="6" t="n">
        <v>1480</v>
      </c>
      <c r="J30" s="5" t="inlineStr">
        <is>
          <t>Felipe Herrera</t>
        </is>
      </c>
    </row>
    <row r="31">
      <c r="A31" s="14" t="n">
        <v>28</v>
      </c>
      <c r="B31" s="6" t="n">
        <v>59</v>
      </c>
      <c r="C31" s="5" t="inlineStr">
        <is>
          <t>Claudia Jiménez Jiménez</t>
        </is>
      </c>
      <c r="D31" s="11" t="inlineStr">
        <is>
          <t>T2 · NARANJA</t>
        </is>
      </c>
      <c r="E31" s="5" t="inlineStr">
        <is>
          <t>Dificultad respiratoria severa</t>
        </is>
      </c>
      <c r="F31" s="6" t="n">
        <v>28</v>
      </c>
      <c r="G31" s="6" t="inlineStr">
        <is>
          <t>Adulto</t>
        </is>
      </c>
      <c r="H31" s="6" t="n">
        <v>45</v>
      </c>
      <c r="I31" s="6" t="n">
        <v>1525</v>
      </c>
      <c r="J31" s="5" t="inlineStr">
        <is>
          <t>Laura Gómez</t>
        </is>
      </c>
    </row>
    <row r="32">
      <c r="A32" s="13" t="n">
        <v>29</v>
      </c>
      <c r="B32" s="6" t="n">
        <v>113</v>
      </c>
      <c r="C32" s="5" t="inlineStr">
        <is>
          <t>Paula Reyes Muñoz</t>
        </is>
      </c>
      <c r="D32" s="11" t="inlineStr">
        <is>
          <t>T2 · NARANJA</t>
        </is>
      </c>
      <c r="E32" s="5" t="inlineStr">
        <is>
          <t>Dificultad respiratoria severa</t>
        </is>
      </c>
      <c r="F32" s="6" t="n">
        <v>28</v>
      </c>
      <c r="G32" s="6" t="inlineStr">
        <is>
          <t>Adulto</t>
        </is>
      </c>
      <c r="H32" s="6" t="n">
        <v>45</v>
      </c>
      <c r="I32" s="6" t="n">
        <v>1570</v>
      </c>
      <c r="J32" s="5" t="inlineStr">
        <is>
          <t>Laura Gómez</t>
        </is>
      </c>
    </row>
    <row r="33">
      <c r="A33" s="14" t="n">
        <v>30</v>
      </c>
      <c r="B33" s="6" t="n">
        <v>15</v>
      </c>
      <c r="C33" s="5" t="inlineStr">
        <is>
          <t>Isabella Ríos Martínez</t>
        </is>
      </c>
      <c r="D33" s="11" t="inlineStr">
        <is>
          <t>T2 · NARANJA</t>
        </is>
      </c>
      <c r="E33" s="5" t="inlineStr">
        <is>
          <t>ACV / Derrame cerebral</t>
        </is>
      </c>
      <c r="F33" s="6" t="n">
        <v>28</v>
      </c>
      <c r="G33" s="6" t="inlineStr">
        <is>
          <t>Adulto</t>
        </is>
      </c>
      <c r="H33" s="6" t="n">
        <v>50</v>
      </c>
      <c r="I33" s="6" t="n">
        <v>1615</v>
      </c>
      <c r="J33" s="5" t="inlineStr">
        <is>
          <t>Andrés Martínez</t>
        </is>
      </c>
    </row>
    <row r="34">
      <c r="A34" s="13" t="n">
        <v>31</v>
      </c>
      <c r="B34" s="6" t="n">
        <v>81</v>
      </c>
      <c r="C34" s="5" t="inlineStr">
        <is>
          <t>Mariana Pardo Jiménez</t>
        </is>
      </c>
      <c r="D34" s="11" t="inlineStr">
        <is>
          <t>T2 · NARANJA</t>
        </is>
      </c>
      <c r="E34" s="5" t="inlineStr">
        <is>
          <t>Dificultad respiratoria severa</t>
        </is>
      </c>
      <c r="F34" s="6" t="n">
        <v>40</v>
      </c>
      <c r="G34" s="6" t="inlineStr">
        <is>
          <t>Adulto</t>
        </is>
      </c>
      <c r="H34" s="6" t="n">
        <v>45</v>
      </c>
      <c r="I34" s="6" t="n">
        <v>1665</v>
      </c>
      <c r="J34" s="5" t="inlineStr">
        <is>
          <t>Sofía Torres</t>
        </is>
      </c>
    </row>
    <row r="35">
      <c r="A35" s="14" t="n">
        <v>32</v>
      </c>
      <c r="B35" s="6" t="n">
        <v>51</v>
      </c>
      <c r="C35" s="5" t="inlineStr">
        <is>
          <t>Felipe Sánchez Vargas</t>
        </is>
      </c>
      <c r="D35" s="11" t="inlineStr">
        <is>
          <t>T2 · NARANJA</t>
        </is>
      </c>
      <c r="E35" s="5" t="inlineStr">
        <is>
          <t>ACV / Derrame cerebral</t>
        </is>
      </c>
      <c r="F35" s="6" t="n">
        <v>29</v>
      </c>
      <c r="G35" s="6" t="inlineStr">
        <is>
          <t>Adulto</t>
        </is>
      </c>
      <c r="H35" s="6" t="n">
        <v>50</v>
      </c>
      <c r="I35" s="6" t="n">
        <v>1710</v>
      </c>
      <c r="J35" s="5" t="inlineStr">
        <is>
          <t>Laura Gómez</t>
        </is>
      </c>
    </row>
    <row r="36">
      <c r="A36" s="13" t="n">
        <v>33</v>
      </c>
      <c r="B36" s="6" t="n">
        <v>39</v>
      </c>
      <c r="C36" s="5" t="inlineStr">
        <is>
          <t>Felipe Bernal Pardo</t>
        </is>
      </c>
      <c r="D36" s="11" t="inlineStr">
        <is>
          <t>T2 · NARANJA</t>
        </is>
      </c>
      <c r="E36" s="5" t="inlineStr">
        <is>
          <t>Dificultad respiratoria severa</t>
        </is>
      </c>
      <c r="F36" s="6" t="n">
        <v>20</v>
      </c>
      <c r="G36" s="6" t="inlineStr">
        <is>
          <t>Adulto</t>
        </is>
      </c>
      <c r="H36" s="6" t="n">
        <v>45</v>
      </c>
      <c r="I36" s="6" t="n">
        <v>1760</v>
      </c>
      <c r="J36" s="5" t="inlineStr">
        <is>
          <t>Carlos Ramírez</t>
        </is>
      </c>
    </row>
    <row r="37">
      <c r="A37" s="14" t="n">
        <v>34</v>
      </c>
      <c r="B37" s="6" t="n">
        <v>12</v>
      </c>
      <c r="C37" s="5" t="inlineStr">
        <is>
          <t>Carlos Sánchez Ospina</t>
        </is>
      </c>
      <c r="D37" s="11" t="inlineStr">
        <is>
          <t>T2 · NARANJA</t>
        </is>
      </c>
      <c r="E37" s="5" t="inlineStr">
        <is>
          <t>ACV / Derrame cerebral</t>
        </is>
      </c>
      <c r="F37" s="6" t="n">
        <v>58</v>
      </c>
      <c r="G37" s="6" t="inlineStr">
        <is>
          <t>Adulto</t>
        </is>
      </c>
      <c r="H37" s="6" t="n">
        <v>50</v>
      </c>
      <c r="I37" s="6" t="n">
        <v>1805</v>
      </c>
      <c r="J37" s="5" t="inlineStr">
        <is>
          <t>Felipe Herrera</t>
        </is>
      </c>
    </row>
    <row r="38">
      <c r="A38" s="13" t="n">
        <v>35</v>
      </c>
      <c r="B38" s="6" t="n">
        <v>2</v>
      </c>
      <c r="C38" s="5" t="inlineStr">
        <is>
          <t>Ricardo Jiménez Morales</t>
        </is>
      </c>
      <c r="D38" s="11" t="inlineStr">
        <is>
          <t>T2 · NARANJA</t>
        </is>
      </c>
      <c r="E38" s="5" t="inlineStr">
        <is>
          <t>Dificultad respiratoria severa</t>
        </is>
      </c>
      <c r="F38" s="6" t="n">
        <v>18</v>
      </c>
      <c r="G38" s="6" t="inlineStr">
        <is>
          <t>Adulto</t>
        </is>
      </c>
      <c r="H38" s="6" t="n">
        <v>45</v>
      </c>
      <c r="I38" s="6" t="n">
        <v>1855</v>
      </c>
      <c r="J38" s="5" t="inlineStr">
        <is>
          <t>Andrés Martínez</t>
        </is>
      </c>
    </row>
    <row r="39">
      <c r="A39" s="14" t="n">
        <v>36</v>
      </c>
      <c r="B39" s="6" t="n">
        <v>64</v>
      </c>
      <c r="C39" s="5" t="inlineStr">
        <is>
          <t>Daniela García Herrera</t>
        </is>
      </c>
      <c r="D39" s="11" t="inlineStr">
        <is>
          <t>T2 · NARANJA</t>
        </is>
      </c>
      <c r="E39" s="5" t="inlineStr">
        <is>
          <t>ACV / Derrame cerebral</t>
        </is>
      </c>
      <c r="F39" s="6" t="n">
        <v>14</v>
      </c>
      <c r="G39" s="6" t="inlineStr">
        <is>
          <t>Menor de edad</t>
        </is>
      </c>
      <c r="H39" s="6" t="n">
        <v>50</v>
      </c>
      <c r="I39" s="6" t="n">
        <v>1900</v>
      </c>
      <c r="J39" s="5" t="inlineStr">
        <is>
          <t>Laura Gómez</t>
        </is>
      </c>
    </row>
    <row r="40">
      <c r="A40" s="13" t="n">
        <v>37</v>
      </c>
      <c r="B40" s="6" t="n">
        <v>23</v>
      </c>
      <c r="C40" s="5" t="inlineStr">
        <is>
          <t>Laura Reyes Ramírez</t>
        </is>
      </c>
      <c r="D40" s="11" t="inlineStr">
        <is>
          <t>T2 · NARANJA</t>
        </is>
      </c>
      <c r="E40" s="5" t="inlineStr">
        <is>
          <t>ACV / Derrame cerebral</t>
        </is>
      </c>
      <c r="F40" s="6" t="n">
        <v>13</v>
      </c>
      <c r="G40" s="6" t="inlineStr">
        <is>
          <t>Menor de edad</t>
        </is>
      </c>
      <c r="H40" s="6" t="n">
        <v>50</v>
      </c>
      <c r="I40" s="6" t="n">
        <v>1950</v>
      </c>
      <c r="J40" s="5" t="inlineStr">
        <is>
          <t>Felipe Herrera</t>
        </is>
      </c>
    </row>
    <row r="41">
      <c r="A41" s="14" t="n">
        <v>38</v>
      </c>
      <c r="B41" s="6" t="n">
        <v>90</v>
      </c>
      <c r="C41" s="5" t="inlineStr">
        <is>
          <t>Juliana Gómez Castro</t>
        </is>
      </c>
      <c r="D41" s="7" t="inlineStr">
        <is>
          <t>T3 · AMARILLO</t>
        </is>
      </c>
      <c r="E41" s="5" t="inlineStr">
        <is>
          <t>Fractura con compromiso vascular</t>
        </is>
      </c>
      <c r="F41" s="6" t="n">
        <v>82</v>
      </c>
      <c r="G41" s="6" t="inlineStr">
        <is>
          <t>Anciano</t>
        </is>
      </c>
      <c r="H41" s="6" t="n">
        <v>35</v>
      </c>
      <c r="I41" s="6" t="n">
        <v>2000</v>
      </c>
      <c r="J41" s="5" t="inlineStr">
        <is>
          <t>Carlos Ramírez</t>
        </is>
      </c>
    </row>
    <row r="42">
      <c r="A42" s="13" t="n">
        <v>39</v>
      </c>
      <c r="B42" s="6" t="n">
        <v>13</v>
      </c>
      <c r="C42" s="5" t="inlineStr">
        <is>
          <t>Ricardo Ospina Martínez</t>
        </is>
      </c>
      <c r="D42" s="7" t="inlineStr">
        <is>
          <t>T3 · AMARILLO</t>
        </is>
      </c>
      <c r="E42" s="5" t="inlineStr">
        <is>
          <t>Dolor abdominal agudo</t>
        </is>
      </c>
      <c r="F42" s="6" t="n">
        <v>1</v>
      </c>
      <c r="G42" s="6" t="inlineStr">
        <is>
          <t>Neonato</t>
        </is>
      </c>
      <c r="H42" s="6" t="n">
        <v>30</v>
      </c>
      <c r="I42" s="6" t="n">
        <v>2035</v>
      </c>
      <c r="J42" s="5" t="inlineStr">
        <is>
          <t>Carlos Ramírez</t>
        </is>
      </c>
    </row>
    <row r="43">
      <c r="A43" s="14" t="n">
        <v>40</v>
      </c>
      <c r="B43" s="6" t="n">
        <v>21</v>
      </c>
      <c r="C43" s="5" t="inlineStr">
        <is>
          <t>Sofía García Rodríguez</t>
        </is>
      </c>
      <c r="D43" s="7" t="inlineStr">
        <is>
          <t>T3 · AMARILLO</t>
        </is>
      </c>
      <c r="E43" s="5" t="inlineStr">
        <is>
          <t>Dolor abdominal agudo</t>
        </is>
      </c>
      <c r="F43" s="6" t="n">
        <v>1</v>
      </c>
      <c r="G43" s="6" t="inlineStr">
        <is>
          <t>Neonato</t>
        </is>
      </c>
      <c r="H43" s="6" t="n">
        <v>30</v>
      </c>
      <c r="I43" s="6" t="n">
        <v>2065</v>
      </c>
      <c r="J43" s="5" t="inlineStr">
        <is>
          <t>Andrés Martínez</t>
        </is>
      </c>
    </row>
    <row r="44">
      <c r="A44" s="13" t="n">
        <v>41</v>
      </c>
      <c r="B44" s="6" t="n">
        <v>7</v>
      </c>
      <c r="C44" s="5" t="inlineStr">
        <is>
          <t>Juan Ospina Ramírez</t>
        </is>
      </c>
      <c r="D44" s="7" t="inlineStr">
        <is>
          <t>T3 · AMARILLO</t>
        </is>
      </c>
      <c r="E44" s="5" t="inlineStr">
        <is>
          <t>Dolor abdominal agudo</t>
        </is>
      </c>
      <c r="F44" s="6" t="n">
        <v>78</v>
      </c>
      <c r="G44" s="6" t="inlineStr">
        <is>
          <t>Anciano</t>
        </is>
      </c>
      <c r="H44" s="6" t="n">
        <v>30</v>
      </c>
      <c r="I44" s="6" t="n">
        <v>2095</v>
      </c>
      <c r="J44" s="5" t="inlineStr">
        <is>
          <t>Sofía Torres</t>
        </is>
      </c>
    </row>
    <row r="45">
      <c r="A45" s="14" t="n">
        <v>42</v>
      </c>
      <c r="B45" s="6" t="n">
        <v>9</v>
      </c>
      <c r="C45" s="5" t="inlineStr">
        <is>
          <t>Ana Martínez López</t>
        </is>
      </c>
      <c r="D45" s="7" t="inlineStr">
        <is>
          <t>T3 · AMARILLO</t>
        </is>
      </c>
      <c r="E45" s="5" t="inlineStr">
        <is>
          <t>Dolor abdominal agudo</t>
        </is>
      </c>
      <c r="F45" s="6" t="n">
        <v>88</v>
      </c>
      <c r="G45" s="6" t="inlineStr">
        <is>
          <t>Anciano</t>
        </is>
      </c>
      <c r="H45" s="6" t="n">
        <v>30</v>
      </c>
      <c r="I45" s="6" t="n">
        <v>2125</v>
      </c>
      <c r="J45" s="5" t="inlineStr">
        <is>
          <t>Sofía Torres</t>
        </is>
      </c>
    </row>
    <row r="46">
      <c r="A46" s="13" t="n">
        <v>43</v>
      </c>
      <c r="B46" s="6" t="n">
        <v>146</v>
      </c>
      <c r="C46" s="5" t="inlineStr">
        <is>
          <t>Fernanda García Cárdenas</t>
        </is>
      </c>
      <c r="D46" s="7" t="inlineStr">
        <is>
          <t>T3 · AMARILLO</t>
        </is>
      </c>
      <c r="E46" s="5" t="inlineStr">
        <is>
          <t>Dolor abdominal agudo</t>
        </is>
      </c>
      <c r="F46" s="6" t="n">
        <v>78</v>
      </c>
      <c r="G46" s="6" t="inlineStr">
        <is>
          <t>Anciano</t>
        </is>
      </c>
      <c r="H46" s="6" t="n">
        <v>30</v>
      </c>
      <c r="I46" s="6" t="n">
        <v>2155</v>
      </c>
      <c r="J46" s="5" t="inlineStr">
        <is>
          <t>Andrés Martínez</t>
        </is>
      </c>
    </row>
    <row r="47">
      <c r="A47" s="14" t="n">
        <v>44</v>
      </c>
      <c r="B47" s="6" t="n">
        <v>141</v>
      </c>
      <c r="C47" s="5" t="inlineStr">
        <is>
          <t>Natalia Torres Morales</t>
        </is>
      </c>
      <c r="D47" s="7" t="inlineStr">
        <is>
          <t>T3 · AMARILLO</t>
        </is>
      </c>
      <c r="E47" s="5" t="inlineStr">
        <is>
          <t>Fractura con compromiso vascular</t>
        </is>
      </c>
      <c r="F47" s="6" t="n">
        <v>84</v>
      </c>
      <c r="G47" s="6" t="inlineStr">
        <is>
          <t>Anciano</t>
        </is>
      </c>
      <c r="H47" s="6" t="n">
        <v>35</v>
      </c>
      <c r="I47" s="6" t="n">
        <v>2185</v>
      </c>
      <c r="J47" s="5" t="inlineStr">
        <is>
          <t>Sofía Torres</t>
        </is>
      </c>
    </row>
    <row r="48">
      <c r="A48" s="13" t="n">
        <v>45</v>
      </c>
      <c r="B48" s="6" t="n">
        <v>33</v>
      </c>
      <c r="C48" s="5" t="inlineStr">
        <is>
          <t>Ana Medina Martínez</t>
        </is>
      </c>
      <c r="D48" s="7" t="inlineStr">
        <is>
          <t>T3 · AMARILLO</t>
        </is>
      </c>
      <c r="E48" s="5" t="inlineStr">
        <is>
          <t>Fractura con compromiso vascular</t>
        </is>
      </c>
      <c r="F48" s="6" t="n">
        <v>85</v>
      </c>
      <c r="G48" s="6" t="inlineStr">
        <is>
          <t>Anciano</t>
        </is>
      </c>
      <c r="H48" s="6" t="n">
        <v>35</v>
      </c>
      <c r="I48" s="6" t="n">
        <v>2220</v>
      </c>
      <c r="J48" s="5" t="inlineStr">
        <is>
          <t>Carlos Ramírez</t>
        </is>
      </c>
    </row>
    <row r="49">
      <c r="A49" s="14" t="n">
        <v>46</v>
      </c>
      <c r="B49" s="6" t="n">
        <v>98</v>
      </c>
      <c r="C49" s="5" t="inlineStr">
        <is>
          <t>Ana Pardo Jiménez</t>
        </is>
      </c>
      <c r="D49" s="7" t="inlineStr">
        <is>
          <t>T3 · AMARILLO</t>
        </is>
      </c>
      <c r="E49" s="5" t="inlineStr">
        <is>
          <t>Dolor abdominal agudo</t>
        </is>
      </c>
      <c r="F49" s="6" t="n">
        <v>79</v>
      </c>
      <c r="G49" s="6" t="inlineStr">
        <is>
          <t>Anciano</t>
        </is>
      </c>
      <c r="H49" s="6" t="n">
        <v>30</v>
      </c>
      <c r="I49" s="6" t="n">
        <v>2255</v>
      </c>
      <c r="J49" s="5" t="inlineStr">
        <is>
          <t>Felipe Herrera</t>
        </is>
      </c>
    </row>
    <row r="50">
      <c r="A50" s="13" t="n">
        <v>47</v>
      </c>
      <c r="B50" s="6" t="n">
        <v>88</v>
      </c>
      <c r="C50" s="5" t="inlineStr">
        <is>
          <t>Sofía Sánchez García</t>
        </is>
      </c>
      <c r="D50" s="7" t="inlineStr">
        <is>
          <t>T3 · AMARILLO</t>
        </is>
      </c>
      <c r="E50" s="5" t="inlineStr">
        <is>
          <t>Fractura con compromiso vascular</t>
        </is>
      </c>
      <c r="F50" s="6" t="n">
        <v>85</v>
      </c>
      <c r="G50" s="6" t="inlineStr">
        <is>
          <t>Anciano</t>
        </is>
      </c>
      <c r="H50" s="6" t="n">
        <v>35</v>
      </c>
      <c r="I50" s="6" t="n">
        <v>2285</v>
      </c>
      <c r="J50" s="5" t="inlineStr">
        <is>
          <t>Carlos Ramírez</t>
        </is>
      </c>
    </row>
    <row r="51">
      <c r="A51" s="14" t="n">
        <v>48</v>
      </c>
      <c r="B51" s="6" t="n">
        <v>129</v>
      </c>
      <c r="C51" s="5" t="inlineStr">
        <is>
          <t>Felipe Alvarado Moreno</t>
        </is>
      </c>
      <c r="D51" s="7" t="inlineStr">
        <is>
          <t>T3 · AMARILLO</t>
        </is>
      </c>
      <c r="E51" s="5" t="inlineStr">
        <is>
          <t>Fractura con compromiso vascular</t>
        </is>
      </c>
      <c r="F51" s="6" t="n">
        <v>88</v>
      </c>
      <c r="G51" s="6" t="inlineStr">
        <is>
          <t>Anciano</t>
        </is>
      </c>
      <c r="H51" s="6" t="n">
        <v>35</v>
      </c>
      <c r="I51" s="6" t="n">
        <v>2320</v>
      </c>
      <c r="J51" s="5" t="inlineStr">
        <is>
          <t>Carlos Ramírez</t>
        </is>
      </c>
    </row>
    <row r="52">
      <c r="A52" s="13" t="n">
        <v>49</v>
      </c>
      <c r="B52" s="6" t="n">
        <v>26</v>
      </c>
      <c r="C52" s="5" t="inlineStr">
        <is>
          <t>Alejandro Alvarado Rodríguez</t>
        </is>
      </c>
      <c r="D52" s="7" t="inlineStr">
        <is>
          <t>T3 · AMARILLO</t>
        </is>
      </c>
      <c r="E52" s="5" t="inlineStr">
        <is>
          <t>Dolor abdominal agudo</t>
        </is>
      </c>
      <c r="F52" s="6" t="n">
        <v>60</v>
      </c>
      <c r="G52" s="6" t="inlineStr">
        <is>
          <t>Adulto mayor</t>
        </is>
      </c>
      <c r="H52" s="6" t="n">
        <v>30</v>
      </c>
      <c r="I52" s="6" t="n">
        <v>2355</v>
      </c>
      <c r="J52" s="5" t="inlineStr">
        <is>
          <t>Laura Gómez</t>
        </is>
      </c>
    </row>
    <row r="53">
      <c r="A53" s="14" t="n">
        <v>50</v>
      </c>
      <c r="B53" s="6" t="n">
        <v>55</v>
      </c>
      <c r="C53" s="5" t="inlineStr">
        <is>
          <t>Daniela Pardo Bernal</t>
        </is>
      </c>
      <c r="D53" s="7" t="inlineStr">
        <is>
          <t>T3 · AMARILLO</t>
        </is>
      </c>
      <c r="E53" s="5" t="inlineStr">
        <is>
          <t>Fractura con compromiso vascular</t>
        </is>
      </c>
      <c r="F53" s="6" t="n">
        <v>65</v>
      </c>
      <c r="G53" s="6" t="inlineStr">
        <is>
          <t>Adulto mayor</t>
        </is>
      </c>
      <c r="H53" s="6" t="n">
        <v>35</v>
      </c>
      <c r="I53" s="6" t="n">
        <v>2385</v>
      </c>
      <c r="J53" s="5" t="inlineStr">
        <is>
          <t>Sofía Torres</t>
        </is>
      </c>
    </row>
    <row r="54">
      <c r="A54" s="13" t="n">
        <v>51</v>
      </c>
      <c r="B54" s="6" t="n">
        <v>114</v>
      </c>
      <c r="C54" s="5" t="inlineStr">
        <is>
          <t>Juan Sánchez Ospina</t>
        </is>
      </c>
      <c r="D54" s="7" t="inlineStr">
        <is>
          <t>T3 · AMARILLO</t>
        </is>
      </c>
      <c r="E54" s="5" t="inlineStr">
        <is>
          <t>Dolor abdominal agudo</t>
        </is>
      </c>
      <c r="F54" s="6" t="n">
        <v>70</v>
      </c>
      <c r="G54" s="6" t="inlineStr">
        <is>
          <t>Adulto mayor</t>
        </is>
      </c>
      <c r="H54" s="6" t="n">
        <v>30</v>
      </c>
      <c r="I54" s="6" t="n">
        <v>2420</v>
      </c>
      <c r="J54" s="5" t="inlineStr">
        <is>
          <t>Andrés Martínez</t>
        </is>
      </c>
    </row>
    <row r="55">
      <c r="A55" s="14" t="n">
        <v>52</v>
      </c>
      <c r="B55" s="6" t="n">
        <v>24</v>
      </c>
      <c r="C55" s="5" t="inlineStr">
        <is>
          <t>Fernanda López Martínez</t>
        </is>
      </c>
      <c r="D55" s="7" t="inlineStr">
        <is>
          <t>T3 · AMARILLO</t>
        </is>
      </c>
      <c r="E55" s="5" t="inlineStr">
        <is>
          <t>Fractura con compromiso vascular</t>
        </is>
      </c>
      <c r="F55" s="6" t="n">
        <v>63</v>
      </c>
      <c r="G55" s="6" t="inlineStr">
        <is>
          <t>Adulto mayor</t>
        </is>
      </c>
      <c r="H55" s="6" t="n">
        <v>35</v>
      </c>
      <c r="I55" s="6" t="n">
        <v>2450</v>
      </c>
      <c r="J55" s="5" t="inlineStr">
        <is>
          <t>Felipe Herrera</t>
        </is>
      </c>
    </row>
    <row r="56">
      <c r="A56" s="13" t="n">
        <v>53</v>
      </c>
      <c r="B56" s="6" t="n">
        <v>50</v>
      </c>
      <c r="C56" s="5" t="inlineStr">
        <is>
          <t>Mariana Martínez Morales</t>
        </is>
      </c>
      <c r="D56" s="7" t="inlineStr">
        <is>
          <t>T3 · AMARILLO</t>
        </is>
      </c>
      <c r="E56" s="5" t="inlineStr">
        <is>
          <t>Fractura con compromiso vascular</t>
        </is>
      </c>
      <c r="F56" s="6" t="n">
        <v>71</v>
      </c>
      <c r="G56" s="6" t="inlineStr">
        <is>
          <t>Adulto mayor</t>
        </is>
      </c>
      <c r="H56" s="6" t="n">
        <v>35</v>
      </c>
      <c r="I56" s="6" t="n">
        <v>2485</v>
      </c>
      <c r="J56" s="5" t="inlineStr">
        <is>
          <t>Laura Gómez</t>
        </is>
      </c>
    </row>
    <row r="57">
      <c r="A57" s="14" t="n">
        <v>54</v>
      </c>
      <c r="B57" s="6" t="n">
        <v>106</v>
      </c>
      <c r="C57" s="5" t="inlineStr">
        <is>
          <t>Carlos Rodríguez Morales</t>
        </is>
      </c>
      <c r="D57" s="7" t="inlineStr">
        <is>
          <t>T3 · AMARILLO</t>
        </is>
      </c>
      <c r="E57" s="5" t="inlineStr">
        <is>
          <t>Fractura con compromiso vascular</t>
        </is>
      </c>
      <c r="F57" s="6" t="n">
        <v>64</v>
      </c>
      <c r="G57" s="6" t="inlineStr">
        <is>
          <t>Adulto mayor</t>
        </is>
      </c>
      <c r="H57" s="6" t="n">
        <v>35</v>
      </c>
      <c r="I57" s="6" t="n">
        <v>2520</v>
      </c>
      <c r="J57" s="5" t="inlineStr">
        <is>
          <t>Carlos Ramírez</t>
        </is>
      </c>
    </row>
    <row r="58">
      <c r="A58" s="13" t="n">
        <v>55</v>
      </c>
      <c r="B58" s="6" t="n">
        <v>120</v>
      </c>
      <c r="C58" s="5" t="inlineStr">
        <is>
          <t>Carlos Gómez Pardo</t>
        </is>
      </c>
      <c r="D58" s="7" t="inlineStr">
        <is>
          <t>T3 · AMARILLO</t>
        </is>
      </c>
      <c r="E58" s="5" t="inlineStr">
        <is>
          <t>Dolor abdominal agudo</t>
        </is>
      </c>
      <c r="F58" s="6" t="n">
        <v>64</v>
      </c>
      <c r="G58" s="6" t="inlineStr">
        <is>
          <t>Adulto mayor</t>
        </is>
      </c>
      <c r="H58" s="6" t="n">
        <v>30</v>
      </c>
      <c r="I58" s="6" t="n">
        <v>2555</v>
      </c>
      <c r="J58" s="5" t="inlineStr">
        <is>
          <t>Felipe Herrera</t>
        </is>
      </c>
    </row>
    <row r="59">
      <c r="A59" s="14" t="n">
        <v>56</v>
      </c>
      <c r="B59" s="6" t="n">
        <v>131</v>
      </c>
      <c r="C59" s="5" t="inlineStr">
        <is>
          <t>Jorge Gómez Moreno</t>
        </is>
      </c>
      <c r="D59" s="7" t="inlineStr">
        <is>
          <t>T3 · AMARILLO</t>
        </is>
      </c>
      <c r="E59" s="5" t="inlineStr">
        <is>
          <t>Fractura con compromiso vascular</t>
        </is>
      </c>
      <c r="F59" s="6" t="n">
        <v>63</v>
      </c>
      <c r="G59" s="6" t="inlineStr">
        <is>
          <t>Adulto mayor</t>
        </is>
      </c>
      <c r="H59" s="6" t="n">
        <v>35</v>
      </c>
      <c r="I59" s="6" t="n">
        <v>2585</v>
      </c>
      <c r="J59" s="5" t="inlineStr">
        <is>
          <t>Laura Gómez</t>
        </is>
      </c>
    </row>
    <row r="60">
      <c r="A60" s="13" t="n">
        <v>57</v>
      </c>
      <c r="B60" s="6" t="n">
        <v>132</v>
      </c>
      <c r="C60" s="5" t="inlineStr">
        <is>
          <t>Mariana Pardo Rodríguez</t>
        </is>
      </c>
      <c r="D60" s="7" t="inlineStr">
        <is>
          <t>T3 · AMARILLO</t>
        </is>
      </c>
      <c r="E60" s="5" t="inlineStr">
        <is>
          <t>Fractura con compromiso vascular</t>
        </is>
      </c>
      <c r="F60" s="6" t="n">
        <v>61</v>
      </c>
      <c r="G60" s="6" t="inlineStr">
        <is>
          <t>Adulto mayor</t>
        </is>
      </c>
      <c r="H60" s="6" t="n">
        <v>35</v>
      </c>
      <c r="I60" s="6" t="n">
        <v>2620</v>
      </c>
      <c r="J60" s="5" t="inlineStr">
        <is>
          <t>Felipe Herrera</t>
        </is>
      </c>
    </row>
    <row r="61">
      <c r="A61" s="14" t="n">
        <v>58</v>
      </c>
      <c r="B61" s="6" t="n">
        <v>65</v>
      </c>
      <c r="C61" s="5" t="inlineStr">
        <is>
          <t>Ricardo Díaz Ríos</t>
        </is>
      </c>
      <c r="D61" s="7" t="inlineStr">
        <is>
          <t>T3 · AMARILLO</t>
        </is>
      </c>
      <c r="E61" s="5" t="inlineStr">
        <is>
          <t>Dolor abdominal agudo</t>
        </is>
      </c>
      <c r="F61" s="6" t="n">
        <v>66</v>
      </c>
      <c r="G61" s="6" t="inlineStr">
        <is>
          <t>Adulto mayor</t>
        </is>
      </c>
      <c r="H61" s="6" t="n">
        <v>30</v>
      </c>
      <c r="I61" s="6" t="n">
        <v>2655</v>
      </c>
      <c r="J61" s="5" t="inlineStr">
        <is>
          <t>Felipe Herrera</t>
        </is>
      </c>
    </row>
    <row r="62">
      <c r="A62" s="13" t="n">
        <v>59</v>
      </c>
      <c r="B62" s="6" t="n">
        <v>32</v>
      </c>
      <c r="C62" s="5" t="inlineStr">
        <is>
          <t>Santiago Ramírez Ospina</t>
        </is>
      </c>
      <c r="D62" s="7" t="inlineStr">
        <is>
          <t>T3 · AMARILLO</t>
        </is>
      </c>
      <c r="E62" s="5" t="inlineStr">
        <is>
          <t>Dolor abdominal agudo</t>
        </is>
      </c>
      <c r="F62" s="6" t="n">
        <v>73</v>
      </c>
      <c r="G62" s="6" t="inlineStr">
        <is>
          <t>Adulto mayor</t>
        </is>
      </c>
      <c r="H62" s="6" t="n">
        <v>30</v>
      </c>
      <c r="I62" s="6" t="n">
        <v>2685</v>
      </c>
      <c r="J62" s="5" t="inlineStr">
        <is>
          <t>Laura Gómez</t>
        </is>
      </c>
    </row>
    <row r="63">
      <c r="A63" s="14" t="n">
        <v>60</v>
      </c>
      <c r="B63" s="6" t="n">
        <v>109</v>
      </c>
      <c r="C63" s="5" t="inlineStr">
        <is>
          <t>Carlos Morales Pardo</t>
        </is>
      </c>
      <c r="D63" s="7" t="inlineStr">
        <is>
          <t>T3 · AMARILLO</t>
        </is>
      </c>
      <c r="E63" s="5" t="inlineStr">
        <is>
          <t>Dolor abdominal agudo</t>
        </is>
      </c>
      <c r="F63" s="6" t="n">
        <v>72</v>
      </c>
      <c r="G63" s="6" t="inlineStr">
        <is>
          <t>Adulto mayor</t>
        </is>
      </c>
      <c r="H63" s="6" t="n">
        <v>30</v>
      </c>
      <c r="I63" s="6" t="n">
        <v>2715</v>
      </c>
      <c r="J63" s="5" t="inlineStr">
        <is>
          <t>Andrés Martínez</t>
        </is>
      </c>
    </row>
    <row r="64">
      <c r="A64" s="13" t="n">
        <v>61</v>
      </c>
      <c r="B64" s="6" t="n">
        <v>29</v>
      </c>
      <c r="C64" s="5" t="inlineStr">
        <is>
          <t>Daniela Morales Vargas</t>
        </is>
      </c>
      <c r="D64" s="7" t="inlineStr">
        <is>
          <t>T3 · AMARILLO</t>
        </is>
      </c>
      <c r="E64" s="5" t="inlineStr">
        <is>
          <t>Fractura con compromiso vascular</t>
        </is>
      </c>
      <c r="F64" s="6" t="n">
        <v>18</v>
      </c>
      <c r="G64" s="6" t="inlineStr">
        <is>
          <t>Adulto</t>
        </is>
      </c>
      <c r="H64" s="6" t="n">
        <v>35</v>
      </c>
      <c r="I64" s="6" t="n">
        <v>2745</v>
      </c>
      <c r="J64" s="5" t="inlineStr">
        <is>
          <t>Felipe Herrera</t>
        </is>
      </c>
    </row>
    <row r="65">
      <c r="A65" s="14" t="n">
        <v>62</v>
      </c>
      <c r="B65" s="6" t="n">
        <v>1</v>
      </c>
      <c r="C65" s="5" t="inlineStr">
        <is>
          <t>Juliana Medina Cruz</t>
        </is>
      </c>
      <c r="D65" s="7" t="inlineStr">
        <is>
          <t>T3 · AMARILLO</t>
        </is>
      </c>
      <c r="E65" s="5" t="inlineStr">
        <is>
          <t>Dolor abdominal agudo</t>
        </is>
      </c>
      <c r="F65" s="6" t="n">
        <v>27</v>
      </c>
      <c r="G65" s="6" t="inlineStr">
        <is>
          <t>Adulto</t>
        </is>
      </c>
      <c r="H65" s="6" t="n">
        <v>30</v>
      </c>
      <c r="I65" s="6" t="n">
        <v>2780</v>
      </c>
      <c r="J65" s="5" t="inlineStr">
        <is>
          <t>Felipe Herrera</t>
        </is>
      </c>
    </row>
    <row r="66">
      <c r="A66" s="13" t="n">
        <v>63</v>
      </c>
      <c r="B66" s="6" t="n">
        <v>35</v>
      </c>
      <c r="C66" s="5" t="inlineStr">
        <is>
          <t>Valentina Alvarado Rodríguez</t>
        </is>
      </c>
      <c r="D66" s="7" t="inlineStr">
        <is>
          <t>T3 · AMARILLO</t>
        </is>
      </c>
      <c r="E66" s="5" t="inlineStr">
        <is>
          <t>Fractura con compromiso vascular</t>
        </is>
      </c>
      <c r="F66" s="6" t="n">
        <v>36</v>
      </c>
      <c r="G66" s="6" t="inlineStr">
        <is>
          <t>Adulto</t>
        </is>
      </c>
      <c r="H66" s="6" t="n">
        <v>35</v>
      </c>
      <c r="I66" s="6" t="n">
        <v>2810</v>
      </c>
      <c r="J66" s="5" t="inlineStr">
        <is>
          <t>Andrés Martínez</t>
        </is>
      </c>
    </row>
    <row r="67">
      <c r="A67" s="14" t="n">
        <v>64</v>
      </c>
      <c r="B67" s="6" t="n">
        <v>76</v>
      </c>
      <c r="C67" s="5" t="inlineStr">
        <is>
          <t>Natalia Herrera Ramírez</t>
        </is>
      </c>
      <c r="D67" s="7" t="inlineStr">
        <is>
          <t>T3 · AMARILLO</t>
        </is>
      </c>
      <c r="E67" s="5" t="inlineStr">
        <is>
          <t>Dolor abdominal agudo</t>
        </is>
      </c>
      <c r="F67" s="6" t="n">
        <v>7</v>
      </c>
      <c r="G67" s="6" t="inlineStr">
        <is>
          <t>Menor de edad</t>
        </is>
      </c>
      <c r="H67" s="6" t="n">
        <v>30</v>
      </c>
      <c r="I67" s="6" t="n">
        <v>2845</v>
      </c>
      <c r="J67" s="5" t="inlineStr">
        <is>
          <t>Felipe Herrera</t>
        </is>
      </c>
    </row>
    <row r="68">
      <c r="A68" s="13" t="n">
        <v>65</v>
      </c>
      <c r="B68" s="6" t="n">
        <v>37</v>
      </c>
      <c r="C68" s="5" t="inlineStr">
        <is>
          <t>Luis Ospina Herrera</t>
        </is>
      </c>
      <c r="D68" s="7" t="inlineStr">
        <is>
          <t>T3 · AMARILLO</t>
        </is>
      </c>
      <c r="E68" s="5" t="inlineStr">
        <is>
          <t>Dolor abdominal agudo</t>
        </is>
      </c>
      <c r="F68" s="6" t="n">
        <v>38</v>
      </c>
      <c r="G68" s="6" t="inlineStr">
        <is>
          <t>Adulto</t>
        </is>
      </c>
      <c r="H68" s="6" t="n">
        <v>30</v>
      </c>
      <c r="I68" s="6" t="n">
        <v>2875</v>
      </c>
      <c r="J68" s="5" t="inlineStr">
        <is>
          <t>Felipe Herrera</t>
        </is>
      </c>
    </row>
    <row r="69">
      <c r="A69" s="14" t="n">
        <v>66</v>
      </c>
      <c r="B69" s="6" t="n">
        <v>46</v>
      </c>
      <c r="C69" s="5" t="inlineStr">
        <is>
          <t>Natalia García Moreno</t>
        </is>
      </c>
      <c r="D69" s="7" t="inlineStr">
        <is>
          <t>T3 · AMARILLO</t>
        </is>
      </c>
      <c r="E69" s="5" t="inlineStr">
        <is>
          <t>Fractura con compromiso vascular</t>
        </is>
      </c>
      <c r="F69" s="6" t="n">
        <v>57</v>
      </c>
      <c r="G69" s="6" t="inlineStr">
        <is>
          <t>Adulto</t>
        </is>
      </c>
      <c r="H69" s="6" t="n">
        <v>35</v>
      </c>
      <c r="I69" s="6" t="n">
        <v>2905</v>
      </c>
      <c r="J69" s="5" t="inlineStr">
        <is>
          <t>Sofía Torres</t>
        </is>
      </c>
    </row>
    <row r="70">
      <c r="A70" s="13" t="n">
        <v>67</v>
      </c>
      <c r="B70" s="6" t="n">
        <v>139</v>
      </c>
      <c r="C70" s="5" t="inlineStr">
        <is>
          <t>Luis Martínez Herrera</t>
        </is>
      </c>
      <c r="D70" s="7" t="inlineStr">
        <is>
          <t>T3 · AMARILLO</t>
        </is>
      </c>
      <c r="E70" s="5" t="inlineStr">
        <is>
          <t>Dolor abdominal agudo</t>
        </is>
      </c>
      <c r="F70" s="6" t="n">
        <v>59</v>
      </c>
      <c r="G70" s="6" t="inlineStr">
        <is>
          <t>Adulto</t>
        </is>
      </c>
      <c r="H70" s="6" t="n">
        <v>30</v>
      </c>
      <c r="I70" s="6" t="n">
        <v>2940</v>
      </c>
      <c r="J70" s="5" t="inlineStr">
        <is>
          <t>Andrés Martínez</t>
        </is>
      </c>
    </row>
    <row r="71">
      <c r="A71" s="14" t="n">
        <v>68</v>
      </c>
      <c r="B71" s="6" t="n">
        <v>95</v>
      </c>
      <c r="C71" s="5" t="inlineStr">
        <is>
          <t>Jorge Alvarado Rodríguez</t>
        </is>
      </c>
      <c r="D71" s="7" t="inlineStr">
        <is>
          <t>T3 · AMARILLO</t>
        </is>
      </c>
      <c r="E71" s="5" t="inlineStr">
        <is>
          <t>Dolor abdominal agudo</t>
        </is>
      </c>
      <c r="F71" s="6" t="n">
        <v>24</v>
      </c>
      <c r="G71" s="6" t="inlineStr">
        <is>
          <t>Adulto</t>
        </is>
      </c>
      <c r="H71" s="6" t="n">
        <v>30</v>
      </c>
      <c r="I71" s="6" t="n">
        <v>2970</v>
      </c>
      <c r="J71" s="5" t="inlineStr">
        <is>
          <t>Andrés Martínez</t>
        </is>
      </c>
    </row>
    <row r="72">
      <c r="A72" s="13" t="n">
        <v>69</v>
      </c>
      <c r="B72" s="6" t="n">
        <v>48</v>
      </c>
      <c r="C72" s="5" t="inlineStr">
        <is>
          <t>Nicolás Herrera Díaz</t>
        </is>
      </c>
      <c r="D72" s="7" t="inlineStr">
        <is>
          <t>T3 · AMARILLO</t>
        </is>
      </c>
      <c r="E72" s="5" t="inlineStr">
        <is>
          <t>Fractura con compromiso vascular</t>
        </is>
      </c>
      <c r="F72" s="6" t="n">
        <v>33</v>
      </c>
      <c r="G72" s="6" t="inlineStr">
        <is>
          <t>Adulto</t>
        </is>
      </c>
      <c r="H72" s="6" t="n">
        <v>35</v>
      </c>
      <c r="I72" s="6" t="n">
        <v>3000</v>
      </c>
      <c r="J72" s="5" t="inlineStr">
        <is>
          <t>Laura Gómez</t>
        </is>
      </c>
    </row>
    <row r="73">
      <c r="A73" s="14" t="n">
        <v>70</v>
      </c>
      <c r="B73" s="6" t="n">
        <v>56</v>
      </c>
      <c r="C73" s="5" t="inlineStr">
        <is>
          <t>Alejandra Cruz Ospina</t>
        </is>
      </c>
      <c r="D73" s="7" t="inlineStr">
        <is>
          <t>T3 · AMARILLO</t>
        </is>
      </c>
      <c r="E73" s="5" t="inlineStr">
        <is>
          <t>Dolor abdominal agudo</t>
        </is>
      </c>
      <c r="F73" s="6" t="n">
        <v>51</v>
      </c>
      <c r="G73" s="6" t="inlineStr">
        <is>
          <t>Adulto</t>
        </is>
      </c>
      <c r="H73" s="6" t="n">
        <v>30</v>
      </c>
      <c r="I73" s="6" t="n">
        <v>3035</v>
      </c>
      <c r="J73" s="5" t="inlineStr">
        <is>
          <t>Carlos Ramírez</t>
        </is>
      </c>
    </row>
    <row r="74">
      <c r="A74" s="13" t="n">
        <v>71</v>
      </c>
      <c r="B74" s="6" t="n">
        <v>5</v>
      </c>
      <c r="C74" s="5" t="inlineStr">
        <is>
          <t>Natalia Gómez Moreno</t>
        </is>
      </c>
      <c r="D74" s="7" t="inlineStr">
        <is>
          <t>T3 · AMARILLO</t>
        </is>
      </c>
      <c r="E74" s="5" t="inlineStr">
        <is>
          <t>Dolor abdominal agudo</t>
        </is>
      </c>
      <c r="F74" s="6" t="n">
        <v>51</v>
      </c>
      <c r="G74" s="6" t="inlineStr">
        <is>
          <t>Adulto</t>
        </is>
      </c>
      <c r="H74" s="6" t="n">
        <v>30</v>
      </c>
      <c r="I74" s="6" t="n">
        <v>3065</v>
      </c>
      <c r="J74" s="5" t="inlineStr">
        <is>
          <t>Carlos Ramírez</t>
        </is>
      </c>
    </row>
    <row r="75">
      <c r="A75" s="14" t="n">
        <v>72</v>
      </c>
      <c r="B75" s="6" t="n">
        <v>142</v>
      </c>
      <c r="C75" s="5" t="inlineStr">
        <is>
          <t>Luis Martínez Herrera</t>
        </is>
      </c>
      <c r="D75" s="7" t="inlineStr">
        <is>
          <t>T3 · AMARILLO</t>
        </is>
      </c>
      <c r="E75" s="5" t="inlineStr">
        <is>
          <t>Dolor abdominal agudo</t>
        </is>
      </c>
      <c r="F75" s="6" t="n">
        <v>10</v>
      </c>
      <c r="G75" s="6" t="inlineStr">
        <is>
          <t>Menor de edad</t>
        </is>
      </c>
      <c r="H75" s="6" t="n">
        <v>30</v>
      </c>
      <c r="I75" s="6" t="n">
        <v>3095</v>
      </c>
      <c r="J75" s="5" t="inlineStr">
        <is>
          <t>Felipe Herrera</t>
        </is>
      </c>
    </row>
    <row r="76">
      <c r="A76" s="13" t="n">
        <v>73</v>
      </c>
      <c r="B76" s="6" t="n">
        <v>134</v>
      </c>
      <c r="C76" s="5" t="inlineStr">
        <is>
          <t>Camilo Díaz Morales</t>
        </is>
      </c>
      <c r="D76" s="7" t="inlineStr">
        <is>
          <t>T3 · AMARILLO</t>
        </is>
      </c>
      <c r="E76" s="5" t="inlineStr">
        <is>
          <t>Fractura con compromiso vascular</t>
        </is>
      </c>
      <c r="F76" s="6" t="n">
        <v>53</v>
      </c>
      <c r="G76" s="6" t="inlineStr">
        <is>
          <t>Adulto</t>
        </is>
      </c>
      <c r="H76" s="6" t="n">
        <v>35</v>
      </c>
      <c r="I76" s="6" t="n">
        <v>3125</v>
      </c>
      <c r="J76" s="5" t="inlineStr">
        <is>
          <t>Laura Gómez</t>
        </is>
      </c>
    </row>
    <row r="77">
      <c r="A77" s="14" t="n">
        <v>74</v>
      </c>
      <c r="B77" s="6" t="n">
        <v>47</v>
      </c>
      <c r="C77" s="5" t="inlineStr">
        <is>
          <t>Andrés Ramírez Medina</t>
        </is>
      </c>
      <c r="D77" s="7" t="inlineStr">
        <is>
          <t>T3 · AMARILLO</t>
        </is>
      </c>
      <c r="E77" s="5" t="inlineStr">
        <is>
          <t>Fractura con compromiso vascular</t>
        </is>
      </c>
      <c r="F77" s="6" t="n">
        <v>51</v>
      </c>
      <c r="G77" s="6" t="inlineStr">
        <is>
          <t>Adulto</t>
        </is>
      </c>
      <c r="H77" s="6" t="n">
        <v>35</v>
      </c>
      <c r="I77" s="6" t="n">
        <v>3160</v>
      </c>
      <c r="J77" s="5" t="inlineStr">
        <is>
          <t>Carlos Ramírez</t>
        </is>
      </c>
    </row>
    <row r="78">
      <c r="A78" s="13" t="n">
        <v>75</v>
      </c>
      <c r="B78" s="6" t="n">
        <v>71</v>
      </c>
      <c r="C78" s="5" t="inlineStr">
        <is>
          <t>María Reyes Pardo</t>
        </is>
      </c>
      <c r="D78" s="7" t="inlineStr">
        <is>
          <t>T3 · AMARILLO</t>
        </is>
      </c>
      <c r="E78" s="5" t="inlineStr">
        <is>
          <t>Dolor abdominal agudo</t>
        </is>
      </c>
      <c r="F78" s="6" t="n">
        <v>50</v>
      </c>
      <c r="G78" s="6" t="inlineStr">
        <is>
          <t>Adulto</t>
        </is>
      </c>
      <c r="H78" s="6" t="n">
        <v>30</v>
      </c>
      <c r="I78" s="6" t="n">
        <v>3195</v>
      </c>
      <c r="J78" s="5" t="inlineStr">
        <is>
          <t>Laura Gómez</t>
        </is>
      </c>
    </row>
    <row r="79">
      <c r="A79" s="14" t="n">
        <v>76</v>
      </c>
      <c r="B79" s="6" t="n">
        <v>104</v>
      </c>
      <c r="C79" s="5" t="inlineStr">
        <is>
          <t>Valentina Ríos Rodríguez</t>
        </is>
      </c>
      <c r="D79" s="7" t="inlineStr">
        <is>
          <t>T3 · AMARILLO</t>
        </is>
      </c>
      <c r="E79" s="5" t="inlineStr">
        <is>
          <t>Dolor abdominal agudo</t>
        </is>
      </c>
      <c r="F79" s="6" t="n">
        <v>40</v>
      </c>
      <c r="G79" s="6" t="inlineStr">
        <is>
          <t>Adulto</t>
        </is>
      </c>
      <c r="H79" s="6" t="n">
        <v>30</v>
      </c>
      <c r="I79" s="6" t="n">
        <v>3225</v>
      </c>
      <c r="J79" s="5" t="inlineStr">
        <is>
          <t>Felipe Herrera</t>
        </is>
      </c>
    </row>
    <row r="80">
      <c r="A80" s="13" t="n">
        <v>77</v>
      </c>
      <c r="B80" s="6" t="n">
        <v>41</v>
      </c>
      <c r="C80" s="5" t="inlineStr">
        <is>
          <t>Valentina Cruz Jiménez</t>
        </is>
      </c>
      <c r="D80" s="7" t="inlineStr">
        <is>
          <t>T3 · AMARILLO</t>
        </is>
      </c>
      <c r="E80" s="5" t="inlineStr">
        <is>
          <t>Fractura con compromiso vascular</t>
        </is>
      </c>
      <c r="F80" s="6" t="n">
        <v>20</v>
      </c>
      <c r="G80" s="6" t="inlineStr">
        <is>
          <t>Adulto</t>
        </is>
      </c>
      <c r="H80" s="6" t="n">
        <v>35</v>
      </c>
      <c r="I80" s="6" t="n">
        <v>3255</v>
      </c>
      <c r="J80" s="5" t="inlineStr">
        <is>
          <t>Felipe Herrera</t>
        </is>
      </c>
    </row>
    <row r="81">
      <c r="A81" s="14" t="n">
        <v>78</v>
      </c>
      <c r="B81" s="6" t="n">
        <v>43</v>
      </c>
      <c r="C81" s="5" t="inlineStr">
        <is>
          <t>Carlos Ríos Moreno</t>
        </is>
      </c>
      <c r="D81" s="7" t="inlineStr">
        <is>
          <t>T3 · AMARILLO</t>
        </is>
      </c>
      <c r="E81" s="5" t="inlineStr">
        <is>
          <t>Dolor abdominal agudo</t>
        </is>
      </c>
      <c r="F81" s="6" t="n">
        <v>54</v>
      </c>
      <c r="G81" s="6" t="inlineStr">
        <is>
          <t>Adulto</t>
        </is>
      </c>
      <c r="H81" s="6" t="n">
        <v>30</v>
      </c>
      <c r="I81" s="6" t="n">
        <v>3290</v>
      </c>
      <c r="J81" s="5" t="inlineStr">
        <is>
          <t>Sofía Torres</t>
        </is>
      </c>
    </row>
    <row r="82">
      <c r="A82" s="13" t="n">
        <v>79</v>
      </c>
      <c r="B82" s="6" t="n">
        <v>42</v>
      </c>
      <c r="C82" s="5" t="inlineStr">
        <is>
          <t>Juan Castro Muñoz</t>
        </is>
      </c>
      <c r="D82" s="7" t="inlineStr">
        <is>
          <t>T3 · AMARILLO</t>
        </is>
      </c>
      <c r="E82" s="5" t="inlineStr">
        <is>
          <t>Fractura con compromiso vascular</t>
        </is>
      </c>
      <c r="F82" s="6" t="n">
        <v>34</v>
      </c>
      <c r="G82" s="6" t="inlineStr">
        <is>
          <t>Adulto</t>
        </is>
      </c>
      <c r="H82" s="6" t="n">
        <v>35</v>
      </c>
      <c r="I82" s="6" t="n">
        <v>3320</v>
      </c>
      <c r="J82" s="5" t="inlineStr">
        <is>
          <t>Felipe Herrera</t>
        </is>
      </c>
    </row>
    <row r="83">
      <c r="A83" s="14" t="n">
        <v>80</v>
      </c>
      <c r="B83" s="6" t="n">
        <v>11</v>
      </c>
      <c r="C83" s="5" t="inlineStr">
        <is>
          <t>Claudia Medina Muñoz</t>
        </is>
      </c>
      <c r="D83" s="7" t="inlineStr">
        <is>
          <t>T3 · AMARILLO</t>
        </is>
      </c>
      <c r="E83" s="5" t="inlineStr">
        <is>
          <t>Fractura con compromiso vascular</t>
        </is>
      </c>
      <c r="F83" s="6" t="n">
        <v>20</v>
      </c>
      <c r="G83" s="6" t="inlineStr">
        <is>
          <t>Adulto</t>
        </is>
      </c>
      <c r="H83" s="6" t="n">
        <v>35</v>
      </c>
      <c r="I83" s="6" t="n">
        <v>3355</v>
      </c>
      <c r="J83" s="5" t="inlineStr">
        <is>
          <t>Andrés Martínez</t>
        </is>
      </c>
    </row>
    <row r="84">
      <c r="A84" s="13" t="n">
        <v>81</v>
      </c>
      <c r="B84" s="6" t="n">
        <v>72</v>
      </c>
      <c r="C84" s="5" t="inlineStr">
        <is>
          <t>Felipe Cruz Vargas</t>
        </is>
      </c>
      <c r="D84" s="7" t="inlineStr">
        <is>
          <t>T3 · AMARILLO</t>
        </is>
      </c>
      <c r="E84" s="5" t="inlineStr">
        <is>
          <t>Fractura con compromiso vascular</t>
        </is>
      </c>
      <c r="F84" s="6" t="n">
        <v>12</v>
      </c>
      <c r="G84" s="6" t="inlineStr">
        <is>
          <t>Menor de edad</t>
        </is>
      </c>
      <c r="H84" s="6" t="n">
        <v>35</v>
      </c>
      <c r="I84" s="6" t="n">
        <v>3390</v>
      </c>
      <c r="J84" s="5" t="inlineStr">
        <is>
          <t>Sofía Torres</t>
        </is>
      </c>
    </row>
    <row r="85">
      <c r="A85" s="14" t="n">
        <v>82</v>
      </c>
      <c r="B85" s="6" t="n">
        <v>133</v>
      </c>
      <c r="C85" s="5" t="inlineStr">
        <is>
          <t>Laura Cárdenas Herrera</t>
        </is>
      </c>
      <c r="D85" s="7" t="inlineStr">
        <is>
          <t>T3 · AMARILLO</t>
        </is>
      </c>
      <c r="E85" s="5" t="inlineStr">
        <is>
          <t>Dolor abdominal agudo</t>
        </is>
      </c>
      <c r="F85" s="6" t="n">
        <v>27</v>
      </c>
      <c r="G85" s="6" t="inlineStr">
        <is>
          <t>Adulto</t>
        </is>
      </c>
      <c r="H85" s="6" t="n">
        <v>30</v>
      </c>
      <c r="I85" s="6" t="n">
        <v>3425</v>
      </c>
      <c r="J85" s="5" t="inlineStr">
        <is>
          <t>Sofía Torres</t>
        </is>
      </c>
    </row>
    <row r="86">
      <c r="A86" s="13" t="n">
        <v>83</v>
      </c>
      <c r="B86" s="6" t="n">
        <v>102</v>
      </c>
      <c r="C86" s="5" t="inlineStr">
        <is>
          <t>Santiago Jiménez Herrera</t>
        </is>
      </c>
      <c r="D86" s="7" t="inlineStr">
        <is>
          <t>T3 · AMARILLO</t>
        </is>
      </c>
      <c r="E86" s="5" t="inlineStr">
        <is>
          <t>Dolor abdominal agudo</t>
        </is>
      </c>
      <c r="F86" s="6" t="n">
        <v>21</v>
      </c>
      <c r="G86" s="6" t="inlineStr">
        <is>
          <t>Adulto</t>
        </is>
      </c>
      <c r="H86" s="6" t="n">
        <v>30</v>
      </c>
      <c r="I86" s="6" t="n">
        <v>3455</v>
      </c>
      <c r="J86" s="5" t="inlineStr">
        <is>
          <t>Carlos Ramírez</t>
        </is>
      </c>
    </row>
    <row r="87">
      <c r="A87" s="14" t="n">
        <v>84</v>
      </c>
      <c r="B87" s="6" t="n">
        <v>19</v>
      </c>
      <c r="C87" s="5" t="inlineStr">
        <is>
          <t>Ana Moreno Rodríguez</t>
        </is>
      </c>
      <c r="D87" s="7" t="inlineStr">
        <is>
          <t>T3 · AMARILLO</t>
        </is>
      </c>
      <c r="E87" s="5" t="inlineStr">
        <is>
          <t>Fractura con compromiso vascular</t>
        </is>
      </c>
      <c r="F87" s="6" t="n">
        <v>35</v>
      </c>
      <c r="G87" s="6" t="inlineStr">
        <is>
          <t>Adulto</t>
        </is>
      </c>
      <c r="H87" s="6" t="n">
        <v>35</v>
      </c>
      <c r="I87" s="6" t="n">
        <v>3485</v>
      </c>
      <c r="J87" s="5" t="inlineStr">
        <is>
          <t>Sofía Torres</t>
        </is>
      </c>
    </row>
    <row r="88">
      <c r="A88" s="13" t="n">
        <v>85</v>
      </c>
      <c r="B88" s="6" t="n">
        <v>112</v>
      </c>
      <c r="C88" s="5" t="inlineStr">
        <is>
          <t>Camila Alvarado Castro</t>
        </is>
      </c>
      <c r="D88" s="7" t="inlineStr">
        <is>
          <t>T3 · AMARILLO</t>
        </is>
      </c>
      <c r="E88" s="5" t="inlineStr">
        <is>
          <t>Dolor abdominal agudo</t>
        </is>
      </c>
      <c r="F88" s="6" t="n">
        <v>45</v>
      </c>
      <c r="G88" s="6" t="inlineStr">
        <is>
          <t>Adulto</t>
        </is>
      </c>
      <c r="H88" s="6" t="n">
        <v>30</v>
      </c>
      <c r="I88" s="6" t="n">
        <v>3520</v>
      </c>
      <c r="J88" s="5" t="inlineStr">
        <is>
          <t>Laura Gómez</t>
        </is>
      </c>
    </row>
    <row r="89">
      <c r="A89" s="14" t="n">
        <v>86</v>
      </c>
      <c r="B89" s="6" t="n">
        <v>57</v>
      </c>
      <c r="C89" s="5" t="inlineStr">
        <is>
          <t>Claudia Gómez Bernal</t>
        </is>
      </c>
      <c r="D89" s="7" t="inlineStr">
        <is>
          <t>T3 · AMARILLO</t>
        </is>
      </c>
      <c r="E89" s="5" t="inlineStr">
        <is>
          <t>Fractura con compromiso vascular</t>
        </is>
      </c>
      <c r="F89" s="6" t="n">
        <v>12</v>
      </c>
      <c r="G89" s="6" t="inlineStr">
        <is>
          <t>Menor de edad</t>
        </is>
      </c>
      <c r="H89" s="6" t="n">
        <v>35</v>
      </c>
      <c r="I89" s="6" t="n">
        <v>3550</v>
      </c>
      <c r="J89" s="5" t="inlineStr">
        <is>
          <t>Laura Gómez</t>
        </is>
      </c>
    </row>
    <row r="90">
      <c r="A90" s="13" t="n">
        <v>87</v>
      </c>
      <c r="B90" s="6" t="n">
        <v>14</v>
      </c>
      <c r="C90" s="5" t="inlineStr">
        <is>
          <t>Valentina Herrera López</t>
        </is>
      </c>
      <c r="D90" s="7" t="inlineStr">
        <is>
          <t>T3 · AMARILLO</t>
        </is>
      </c>
      <c r="E90" s="5" t="inlineStr">
        <is>
          <t>Fractura con compromiso vascular</t>
        </is>
      </c>
      <c r="F90" s="6" t="n">
        <v>48</v>
      </c>
      <c r="G90" s="6" t="inlineStr">
        <is>
          <t>Adulto</t>
        </is>
      </c>
      <c r="H90" s="6" t="n">
        <v>35</v>
      </c>
      <c r="I90" s="6" t="n">
        <v>3585</v>
      </c>
      <c r="J90" s="5" t="inlineStr">
        <is>
          <t>Sofía Torres</t>
        </is>
      </c>
    </row>
    <row r="91">
      <c r="A91" s="14" t="n">
        <v>88</v>
      </c>
      <c r="B91" s="6" t="n">
        <v>115</v>
      </c>
      <c r="C91" s="5" t="inlineStr">
        <is>
          <t>Carlos Cárdenas Moreno</t>
        </is>
      </c>
      <c r="D91" s="7" t="inlineStr">
        <is>
          <t>T3 · AMARILLO</t>
        </is>
      </c>
      <c r="E91" s="5" t="inlineStr">
        <is>
          <t>Fractura con compromiso vascular</t>
        </is>
      </c>
      <c r="F91" s="6" t="n">
        <v>49</v>
      </c>
      <c r="G91" s="6" t="inlineStr">
        <is>
          <t>Adulto</t>
        </is>
      </c>
      <c r="H91" s="6" t="n">
        <v>35</v>
      </c>
      <c r="I91" s="6" t="n">
        <v>3620</v>
      </c>
      <c r="J91" s="5" t="inlineStr">
        <is>
          <t>Sofía Torres</t>
        </is>
      </c>
    </row>
    <row r="92">
      <c r="A92" s="13" t="n">
        <v>89</v>
      </c>
      <c r="B92" s="6" t="n">
        <v>80</v>
      </c>
      <c r="C92" s="5" t="inlineStr">
        <is>
          <t>Miguel Vargas Sánchez</t>
        </is>
      </c>
      <c r="D92" s="7" t="inlineStr">
        <is>
          <t>T3 · AMARILLO</t>
        </is>
      </c>
      <c r="E92" s="5" t="inlineStr">
        <is>
          <t>Dolor abdominal agudo</t>
        </is>
      </c>
      <c r="F92" s="6" t="n">
        <v>54</v>
      </c>
      <c r="G92" s="6" t="inlineStr">
        <is>
          <t>Adulto</t>
        </is>
      </c>
      <c r="H92" s="6" t="n">
        <v>30</v>
      </c>
      <c r="I92" s="6" t="n">
        <v>3655</v>
      </c>
      <c r="J92" s="5" t="inlineStr">
        <is>
          <t>Laura Gómez</t>
        </is>
      </c>
    </row>
    <row r="93">
      <c r="A93" s="14" t="n">
        <v>90</v>
      </c>
      <c r="B93" s="6" t="n">
        <v>3</v>
      </c>
      <c r="C93" s="5" t="inlineStr">
        <is>
          <t>Natalia Jiménez Díaz</t>
        </is>
      </c>
      <c r="D93" s="7" t="inlineStr">
        <is>
          <t>T3 · AMARILLO</t>
        </is>
      </c>
      <c r="E93" s="5" t="inlineStr">
        <is>
          <t>Fractura con compromiso vascular</t>
        </is>
      </c>
      <c r="F93" s="6" t="n">
        <v>53</v>
      </c>
      <c r="G93" s="6" t="inlineStr">
        <is>
          <t>Adulto</t>
        </is>
      </c>
      <c r="H93" s="6" t="n">
        <v>35</v>
      </c>
      <c r="I93" s="6" t="n">
        <v>3685</v>
      </c>
      <c r="J93" s="5" t="inlineStr">
        <is>
          <t>Laura Gómez</t>
        </is>
      </c>
    </row>
    <row r="94">
      <c r="A94" s="13" t="n">
        <v>91</v>
      </c>
      <c r="B94" s="6" t="n">
        <v>31</v>
      </c>
      <c r="C94" s="5" t="inlineStr">
        <is>
          <t>Jorge Pardo Castro</t>
        </is>
      </c>
      <c r="D94" s="7" t="inlineStr">
        <is>
          <t>T3 · AMARILLO</t>
        </is>
      </c>
      <c r="E94" s="5" t="inlineStr">
        <is>
          <t>Fractura con compromiso vascular</t>
        </is>
      </c>
      <c r="F94" s="6" t="n">
        <v>7</v>
      </c>
      <c r="G94" s="6" t="inlineStr">
        <is>
          <t>Menor de edad</t>
        </is>
      </c>
      <c r="H94" s="6" t="n">
        <v>35</v>
      </c>
      <c r="I94" s="6" t="n">
        <v>3720</v>
      </c>
      <c r="J94" s="5" t="inlineStr">
        <is>
          <t>Sofía Torres</t>
        </is>
      </c>
    </row>
    <row r="95">
      <c r="A95" s="14" t="n">
        <v>92</v>
      </c>
      <c r="B95" s="6" t="n">
        <v>38</v>
      </c>
      <c r="C95" s="5" t="inlineStr">
        <is>
          <t>María Bernal Morales</t>
        </is>
      </c>
      <c r="D95" s="8" t="inlineStr">
        <is>
          <t>T4 · VERDE</t>
        </is>
      </c>
      <c r="E95" s="5" t="inlineStr">
        <is>
          <t>Fiebre alta con convulsión</t>
        </is>
      </c>
      <c r="F95" s="6" t="n">
        <v>75</v>
      </c>
      <c r="G95" s="6" t="inlineStr">
        <is>
          <t>Anciano</t>
        </is>
      </c>
      <c r="H95" s="6" t="n">
        <v>25</v>
      </c>
      <c r="I95" s="6" t="n">
        <v>3755</v>
      </c>
      <c r="J95" s="5" t="inlineStr">
        <is>
          <t>Carlos Ramírez</t>
        </is>
      </c>
    </row>
    <row r="96">
      <c r="A96" s="13" t="n">
        <v>93</v>
      </c>
      <c r="B96" s="6" t="n">
        <v>108</v>
      </c>
      <c r="C96" s="5" t="inlineStr">
        <is>
          <t>María Ramírez Gómez</t>
        </is>
      </c>
      <c r="D96" s="8" t="inlineStr">
        <is>
          <t>T4 · VERDE</t>
        </is>
      </c>
      <c r="E96" s="5" t="inlineStr">
        <is>
          <t>Fiebre alta con convulsión</t>
        </is>
      </c>
      <c r="F96" s="6" t="n">
        <v>88</v>
      </c>
      <c r="G96" s="6" t="inlineStr">
        <is>
          <t>Anciano</t>
        </is>
      </c>
      <c r="H96" s="6" t="n">
        <v>25</v>
      </c>
      <c r="I96" s="6" t="n">
        <v>3780</v>
      </c>
      <c r="J96" s="5" t="inlineStr">
        <is>
          <t>Sofía Torres</t>
        </is>
      </c>
    </row>
    <row r="97">
      <c r="A97" s="14" t="n">
        <v>94</v>
      </c>
      <c r="B97" s="6" t="n">
        <v>66</v>
      </c>
      <c r="C97" s="5" t="inlineStr">
        <is>
          <t>Juliana Medina López</t>
        </is>
      </c>
      <c r="D97" s="8" t="inlineStr">
        <is>
          <t>T4 · VERDE</t>
        </is>
      </c>
      <c r="E97" s="5" t="inlineStr">
        <is>
          <t>Herida con sangrado moderado</t>
        </is>
      </c>
      <c r="F97" s="6" t="n">
        <v>82</v>
      </c>
      <c r="G97" s="6" t="inlineStr">
        <is>
          <t>Anciano</t>
        </is>
      </c>
      <c r="H97" s="6" t="n">
        <v>20</v>
      </c>
      <c r="I97" s="6" t="n">
        <v>3805</v>
      </c>
      <c r="J97" s="5" t="inlineStr">
        <is>
          <t>Laura Gómez</t>
        </is>
      </c>
    </row>
    <row r="98">
      <c r="A98" s="13" t="n">
        <v>95</v>
      </c>
      <c r="B98" s="6" t="n">
        <v>123</v>
      </c>
      <c r="C98" s="5" t="inlineStr">
        <is>
          <t>Isabella López Ríos</t>
        </is>
      </c>
      <c r="D98" s="8" t="inlineStr">
        <is>
          <t>T4 · VERDE</t>
        </is>
      </c>
      <c r="E98" s="5" t="inlineStr">
        <is>
          <t>Fiebre alta con convulsión</t>
        </is>
      </c>
      <c r="F98" s="6" t="n">
        <v>86</v>
      </c>
      <c r="G98" s="6" t="inlineStr">
        <is>
          <t>Anciano</t>
        </is>
      </c>
      <c r="H98" s="6" t="n">
        <v>25</v>
      </c>
      <c r="I98" s="6" t="n">
        <v>3825</v>
      </c>
      <c r="J98" s="5" t="inlineStr">
        <is>
          <t>Felipe Herrera</t>
        </is>
      </c>
    </row>
    <row r="99">
      <c r="A99" s="14" t="n">
        <v>96</v>
      </c>
      <c r="B99" s="6" t="n">
        <v>93</v>
      </c>
      <c r="C99" s="5" t="inlineStr">
        <is>
          <t>Paula López Sánchez</t>
        </is>
      </c>
      <c r="D99" s="8" t="inlineStr">
        <is>
          <t>T4 · VERDE</t>
        </is>
      </c>
      <c r="E99" s="5" t="inlineStr">
        <is>
          <t>Fiebre alta con convulsión</t>
        </is>
      </c>
      <c r="F99" s="6" t="n">
        <v>82</v>
      </c>
      <c r="G99" s="6" t="inlineStr">
        <is>
          <t>Anciano</t>
        </is>
      </c>
      <c r="H99" s="6" t="n">
        <v>25</v>
      </c>
      <c r="I99" s="6" t="n">
        <v>3850</v>
      </c>
      <c r="J99" s="5" t="inlineStr">
        <is>
          <t>Sofía Torres</t>
        </is>
      </c>
    </row>
    <row r="100">
      <c r="A100" s="13" t="n">
        <v>97</v>
      </c>
      <c r="B100" s="6" t="n">
        <v>110</v>
      </c>
      <c r="C100" s="5" t="inlineStr">
        <is>
          <t>Carlos Cruz Díaz</t>
        </is>
      </c>
      <c r="D100" s="8" t="inlineStr">
        <is>
          <t>T4 · VERDE</t>
        </is>
      </c>
      <c r="E100" s="5" t="inlineStr">
        <is>
          <t>Fiebre alta con convulsión</t>
        </is>
      </c>
      <c r="F100" s="6" t="n">
        <v>79</v>
      </c>
      <c r="G100" s="6" t="inlineStr">
        <is>
          <t>Anciano</t>
        </is>
      </c>
      <c r="H100" s="6" t="n">
        <v>25</v>
      </c>
      <c r="I100" s="6" t="n">
        <v>3875</v>
      </c>
      <c r="J100" s="5" t="inlineStr">
        <is>
          <t>Carlos Ramírez</t>
        </is>
      </c>
    </row>
    <row r="101">
      <c r="A101" s="14" t="n">
        <v>98</v>
      </c>
      <c r="B101" s="6" t="n">
        <v>136</v>
      </c>
      <c r="C101" s="5" t="inlineStr">
        <is>
          <t>Fernanda Pardo Jiménez</t>
        </is>
      </c>
      <c r="D101" s="8" t="inlineStr">
        <is>
          <t>T4 · VERDE</t>
        </is>
      </c>
      <c r="E101" s="5" t="inlineStr">
        <is>
          <t>Herida con sangrado moderado</t>
        </is>
      </c>
      <c r="F101" s="6" t="n">
        <v>1</v>
      </c>
      <c r="G101" s="6" t="inlineStr">
        <is>
          <t>Neonato</t>
        </is>
      </c>
      <c r="H101" s="6" t="n">
        <v>20</v>
      </c>
      <c r="I101" s="6" t="n">
        <v>3900</v>
      </c>
      <c r="J101" s="5" t="inlineStr">
        <is>
          <t>Felipe Herrera</t>
        </is>
      </c>
    </row>
    <row r="102">
      <c r="A102" s="13" t="n">
        <v>99</v>
      </c>
      <c r="B102" s="6" t="n">
        <v>84</v>
      </c>
      <c r="C102" s="5" t="inlineStr">
        <is>
          <t>Camila López Jiménez</t>
        </is>
      </c>
      <c r="D102" s="8" t="inlineStr">
        <is>
          <t>T4 · VERDE</t>
        </is>
      </c>
      <c r="E102" s="5" t="inlineStr">
        <is>
          <t>Fiebre alta con convulsión</t>
        </is>
      </c>
      <c r="F102" s="6" t="n">
        <v>75</v>
      </c>
      <c r="G102" s="6" t="inlineStr">
        <is>
          <t>Anciano</t>
        </is>
      </c>
      <c r="H102" s="6" t="n">
        <v>25</v>
      </c>
      <c r="I102" s="6" t="n">
        <v>3920</v>
      </c>
      <c r="J102" s="5" t="inlineStr">
        <is>
          <t>Felipe Herrera</t>
        </is>
      </c>
    </row>
    <row r="103">
      <c r="A103" s="14" t="n">
        <v>100</v>
      </c>
      <c r="B103" s="6" t="n">
        <v>107</v>
      </c>
      <c r="C103" s="5" t="inlineStr">
        <is>
          <t>Laura Pardo Gómez</t>
        </is>
      </c>
      <c r="D103" s="8" t="inlineStr">
        <is>
          <t>T4 · VERDE</t>
        </is>
      </c>
      <c r="E103" s="5" t="inlineStr">
        <is>
          <t>Herida con sangrado moderado</t>
        </is>
      </c>
      <c r="F103" s="6" t="n">
        <v>2</v>
      </c>
      <c r="G103" s="6" t="inlineStr">
        <is>
          <t>Infante</t>
        </is>
      </c>
      <c r="H103" s="6" t="n">
        <v>20</v>
      </c>
      <c r="I103" s="6" t="n">
        <v>3945</v>
      </c>
      <c r="J103" s="5" t="inlineStr">
        <is>
          <t>Laura Gómez</t>
        </is>
      </c>
    </row>
    <row r="104">
      <c r="A104" s="13" t="n">
        <v>101</v>
      </c>
      <c r="B104" s="6" t="n">
        <v>54</v>
      </c>
      <c r="C104" s="5" t="inlineStr">
        <is>
          <t>Felipe Gómez Bernal</t>
        </is>
      </c>
      <c r="D104" s="8" t="inlineStr">
        <is>
          <t>T4 · VERDE</t>
        </is>
      </c>
      <c r="E104" s="5" t="inlineStr">
        <is>
          <t>Herida con sangrado moderado</t>
        </is>
      </c>
      <c r="F104" s="6" t="n">
        <v>5</v>
      </c>
      <c r="G104" s="6" t="inlineStr">
        <is>
          <t>Infante</t>
        </is>
      </c>
      <c r="H104" s="6" t="n">
        <v>20</v>
      </c>
      <c r="I104" s="6" t="n">
        <v>3965</v>
      </c>
      <c r="J104" s="5" t="inlineStr">
        <is>
          <t>Andrés Martínez</t>
        </is>
      </c>
    </row>
    <row r="105">
      <c r="A105" s="14" t="n">
        <v>102</v>
      </c>
      <c r="B105" s="6" t="n">
        <v>100</v>
      </c>
      <c r="C105" s="5" t="inlineStr">
        <is>
          <t>Valentina Morales Torres</t>
        </is>
      </c>
      <c r="D105" s="8" t="inlineStr">
        <is>
          <t>T4 · VERDE</t>
        </is>
      </c>
      <c r="E105" s="5" t="inlineStr">
        <is>
          <t>Fiebre alta con convulsión</t>
        </is>
      </c>
      <c r="F105" s="6" t="n">
        <v>64</v>
      </c>
      <c r="G105" s="6" t="inlineStr">
        <is>
          <t>Adulto mayor</t>
        </is>
      </c>
      <c r="H105" s="6" t="n">
        <v>25</v>
      </c>
      <c r="I105" s="6" t="n">
        <v>3985</v>
      </c>
      <c r="J105" s="5" t="inlineStr">
        <is>
          <t>Carlos Ramírez</t>
        </is>
      </c>
    </row>
    <row r="106">
      <c r="A106" s="13" t="n">
        <v>103</v>
      </c>
      <c r="B106" s="6" t="n">
        <v>138</v>
      </c>
      <c r="C106" s="5" t="inlineStr">
        <is>
          <t>Sebastián Ríos Sánchez</t>
        </is>
      </c>
      <c r="D106" s="8" t="inlineStr">
        <is>
          <t>T4 · VERDE</t>
        </is>
      </c>
      <c r="E106" s="5" t="inlineStr">
        <is>
          <t>Fiebre alta con convulsión</t>
        </is>
      </c>
      <c r="F106" s="6" t="n">
        <v>63</v>
      </c>
      <c r="G106" s="6" t="inlineStr">
        <is>
          <t>Adulto mayor</t>
        </is>
      </c>
      <c r="H106" s="6" t="n">
        <v>25</v>
      </c>
      <c r="I106" s="6" t="n">
        <v>4010</v>
      </c>
      <c r="J106" s="5" t="inlineStr">
        <is>
          <t>Laura Gómez</t>
        </is>
      </c>
    </row>
    <row r="107">
      <c r="A107" s="14" t="n">
        <v>104</v>
      </c>
      <c r="B107" s="6" t="n">
        <v>49</v>
      </c>
      <c r="C107" s="5" t="inlineStr">
        <is>
          <t>Alejandra Jiménez Alvarado</t>
        </is>
      </c>
      <c r="D107" s="8" t="inlineStr">
        <is>
          <t>T4 · VERDE</t>
        </is>
      </c>
      <c r="E107" s="5" t="inlineStr">
        <is>
          <t>Herida con sangrado moderado</t>
        </is>
      </c>
      <c r="F107" s="6" t="n">
        <v>69</v>
      </c>
      <c r="G107" s="6" t="inlineStr">
        <is>
          <t>Adulto mayor</t>
        </is>
      </c>
      <c r="H107" s="6" t="n">
        <v>20</v>
      </c>
      <c r="I107" s="6" t="n">
        <v>4035</v>
      </c>
      <c r="J107" s="5" t="inlineStr">
        <is>
          <t>Laura Gómez</t>
        </is>
      </c>
    </row>
    <row r="108">
      <c r="A108" s="13" t="n">
        <v>105</v>
      </c>
      <c r="B108" s="6" t="n">
        <v>119</v>
      </c>
      <c r="C108" s="5" t="inlineStr">
        <is>
          <t>Felipe Martínez Martínez</t>
        </is>
      </c>
      <c r="D108" s="8" t="inlineStr">
        <is>
          <t>T4 · VERDE</t>
        </is>
      </c>
      <c r="E108" s="5" t="inlineStr">
        <is>
          <t>Herida con sangrado moderado</t>
        </is>
      </c>
      <c r="F108" s="6" t="n">
        <v>64</v>
      </c>
      <c r="G108" s="6" t="inlineStr">
        <is>
          <t>Adulto mayor</t>
        </is>
      </c>
      <c r="H108" s="6" t="n">
        <v>20</v>
      </c>
      <c r="I108" s="6" t="n">
        <v>4055</v>
      </c>
      <c r="J108" s="5" t="inlineStr">
        <is>
          <t>Carlos Ramírez</t>
        </is>
      </c>
    </row>
    <row r="109">
      <c r="A109" s="14" t="n">
        <v>106</v>
      </c>
      <c r="B109" s="6" t="n">
        <v>73</v>
      </c>
      <c r="C109" s="5" t="inlineStr">
        <is>
          <t>David Medina Cárdenas</t>
        </is>
      </c>
      <c r="D109" s="8" t="inlineStr">
        <is>
          <t>T4 · VERDE</t>
        </is>
      </c>
      <c r="E109" s="5" t="inlineStr">
        <is>
          <t>Herida con sangrado moderado</t>
        </is>
      </c>
      <c r="F109" s="6" t="n">
        <v>72</v>
      </c>
      <c r="G109" s="6" t="inlineStr">
        <is>
          <t>Adulto mayor</t>
        </is>
      </c>
      <c r="H109" s="6" t="n">
        <v>20</v>
      </c>
      <c r="I109" s="6" t="n">
        <v>4075</v>
      </c>
      <c r="J109" s="5" t="inlineStr">
        <is>
          <t>Felipe Herrera</t>
        </is>
      </c>
    </row>
    <row r="110">
      <c r="A110" s="13" t="n">
        <v>107</v>
      </c>
      <c r="B110" s="6" t="n">
        <v>74</v>
      </c>
      <c r="C110" s="5" t="inlineStr">
        <is>
          <t>Alejandro Pardo Pardo</t>
        </is>
      </c>
      <c r="D110" s="8" t="inlineStr">
        <is>
          <t>T4 · VERDE</t>
        </is>
      </c>
      <c r="E110" s="5" t="inlineStr">
        <is>
          <t>Fiebre alta con convulsión</t>
        </is>
      </c>
      <c r="F110" s="6" t="n">
        <v>65</v>
      </c>
      <c r="G110" s="6" t="inlineStr">
        <is>
          <t>Adulto mayor</t>
        </is>
      </c>
      <c r="H110" s="6" t="n">
        <v>25</v>
      </c>
      <c r="I110" s="6" t="n">
        <v>4095</v>
      </c>
      <c r="J110" s="5" t="inlineStr">
        <is>
          <t>Andrés Martínez</t>
        </is>
      </c>
    </row>
    <row r="111">
      <c r="A111" s="14" t="n">
        <v>108</v>
      </c>
      <c r="B111" s="6" t="n">
        <v>89</v>
      </c>
      <c r="C111" s="5" t="inlineStr">
        <is>
          <t>Daniel Sánchez Rodríguez</t>
        </is>
      </c>
      <c r="D111" s="8" t="inlineStr">
        <is>
          <t>T4 · VERDE</t>
        </is>
      </c>
      <c r="E111" s="5" t="inlineStr">
        <is>
          <t>Fiebre alta con convulsión</t>
        </is>
      </c>
      <c r="F111" s="6" t="n">
        <v>71</v>
      </c>
      <c r="G111" s="6" t="inlineStr">
        <is>
          <t>Adulto mayor</t>
        </is>
      </c>
      <c r="H111" s="6" t="n">
        <v>25</v>
      </c>
      <c r="I111" s="6" t="n">
        <v>4120</v>
      </c>
      <c r="J111" s="5" t="inlineStr">
        <is>
          <t>Felipe Herrera</t>
        </is>
      </c>
    </row>
    <row r="112">
      <c r="A112" s="13" t="n">
        <v>109</v>
      </c>
      <c r="B112" s="6" t="n">
        <v>92</v>
      </c>
      <c r="C112" s="5" t="inlineStr">
        <is>
          <t>Daniel Moreno Alvarado</t>
        </is>
      </c>
      <c r="D112" s="8" t="inlineStr">
        <is>
          <t>T4 · VERDE</t>
        </is>
      </c>
      <c r="E112" s="5" t="inlineStr">
        <is>
          <t>Fiebre alta con convulsión</t>
        </is>
      </c>
      <c r="F112" s="6" t="n">
        <v>63</v>
      </c>
      <c r="G112" s="6" t="inlineStr">
        <is>
          <t>Adulto mayor</t>
        </is>
      </c>
      <c r="H112" s="6" t="n">
        <v>25</v>
      </c>
      <c r="I112" s="6" t="n">
        <v>4145</v>
      </c>
      <c r="J112" s="5" t="inlineStr">
        <is>
          <t>Carlos Ramírez</t>
        </is>
      </c>
    </row>
    <row r="113">
      <c r="A113" s="14" t="n">
        <v>110</v>
      </c>
      <c r="B113" s="6" t="n">
        <v>87</v>
      </c>
      <c r="C113" s="5" t="inlineStr">
        <is>
          <t>Ricardo Sánchez Herrera</t>
        </is>
      </c>
      <c r="D113" s="8" t="inlineStr">
        <is>
          <t>T4 · VERDE</t>
        </is>
      </c>
      <c r="E113" s="5" t="inlineStr">
        <is>
          <t>Fiebre alta con convulsión</t>
        </is>
      </c>
      <c r="F113" s="6" t="n">
        <v>26</v>
      </c>
      <c r="G113" s="6" t="inlineStr">
        <is>
          <t>Adulto</t>
        </is>
      </c>
      <c r="H113" s="6" t="n">
        <v>25</v>
      </c>
      <c r="I113" s="6" t="n">
        <v>4170</v>
      </c>
      <c r="J113" s="5" t="inlineStr">
        <is>
          <t>Andrés Martínez</t>
        </is>
      </c>
    </row>
    <row r="114">
      <c r="A114" s="13" t="n">
        <v>111</v>
      </c>
      <c r="B114" s="6" t="n">
        <v>86</v>
      </c>
      <c r="C114" s="5" t="inlineStr">
        <is>
          <t>Laura Medina Cruz</t>
        </is>
      </c>
      <c r="D114" s="8" t="inlineStr">
        <is>
          <t>T4 · VERDE</t>
        </is>
      </c>
      <c r="E114" s="5" t="inlineStr">
        <is>
          <t>Herida con sangrado moderado</t>
        </is>
      </c>
      <c r="F114" s="6" t="n">
        <v>57</v>
      </c>
      <c r="G114" s="6" t="inlineStr">
        <is>
          <t>Adulto</t>
        </is>
      </c>
      <c r="H114" s="6" t="n">
        <v>20</v>
      </c>
      <c r="I114" s="6" t="n">
        <v>4195</v>
      </c>
      <c r="J114" s="5" t="inlineStr">
        <is>
          <t>Carlos Ramírez</t>
        </is>
      </c>
    </row>
    <row r="115">
      <c r="A115" s="14" t="n">
        <v>112</v>
      </c>
      <c r="B115" s="6" t="n">
        <v>94</v>
      </c>
      <c r="C115" s="5" t="inlineStr">
        <is>
          <t>David Gómez Castro</t>
        </is>
      </c>
      <c r="D115" s="8" t="inlineStr">
        <is>
          <t>T4 · VERDE</t>
        </is>
      </c>
      <c r="E115" s="5" t="inlineStr">
        <is>
          <t>Fiebre alta con convulsión</t>
        </is>
      </c>
      <c r="F115" s="6" t="n">
        <v>29</v>
      </c>
      <c r="G115" s="6" t="inlineStr">
        <is>
          <t>Adulto</t>
        </is>
      </c>
      <c r="H115" s="6" t="n">
        <v>25</v>
      </c>
      <c r="I115" s="6" t="n">
        <v>4215</v>
      </c>
      <c r="J115" s="5" t="inlineStr">
        <is>
          <t>Carlos Ramírez</t>
        </is>
      </c>
    </row>
    <row r="116">
      <c r="A116" s="13" t="n">
        <v>113</v>
      </c>
      <c r="B116" s="6" t="n">
        <v>91</v>
      </c>
      <c r="C116" s="5" t="inlineStr">
        <is>
          <t>Paula Torres López</t>
        </is>
      </c>
      <c r="D116" s="8" t="inlineStr">
        <is>
          <t>T4 · VERDE</t>
        </is>
      </c>
      <c r="E116" s="5" t="inlineStr">
        <is>
          <t>Herida con sangrado moderado</t>
        </is>
      </c>
      <c r="F116" s="6" t="n">
        <v>18</v>
      </c>
      <c r="G116" s="6" t="inlineStr">
        <is>
          <t>Adulto</t>
        </is>
      </c>
      <c r="H116" s="6" t="n">
        <v>20</v>
      </c>
      <c r="I116" s="6" t="n">
        <v>4240</v>
      </c>
      <c r="J116" s="5" t="inlineStr">
        <is>
          <t>Andrés Martínez</t>
        </is>
      </c>
    </row>
    <row r="117">
      <c r="A117" s="14" t="n">
        <v>114</v>
      </c>
      <c r="B117" s="6" t="n">
        <v>145</v>
      </c>
      <c r="C117" s="5" t="inlineStr">
        <is>
          <t>Camilo Ramírez Ramírez</t>
        </is>
      </c>
      <c r="D117" s="8" t="inlineStr">
        <is>
          <t>T4 · VERDE</t>
        </is>
      </c>
      <c r="E117" s="5" t="inlineStr">
        <is>
          <t>Fiebre alta con convulsión</t>
        </is>
      </c>
      <c r="F117" s="6" t="n">
        <v>52</v>
      </c>
      <c r="G117" s="6" t="inlineStr">
        <is>
          <t>Adulto</t>
        </is>
      </c>
      <c r="H117" s="6" t="n">
        <v>25</v>
      </c>
      <c r="I117" s="6" t="n">
        <v>4260</v>
      </c>
      <c r="J117" s="5" t="inlineStr">
        <is>
          <t>Carlos Ramírez</t>
        </is>
      </c>
    </row>
    <row r="118">
      <c r="A118" s="13" t="n">
        <v>115</v>
      </c>
      <c r="B118" s="6" t="n">
        <v>20</v>
      </c>
      <c r="C118" s="5" t="inlineStr">
        <is>
          <t>Nicolás Ríos Cárdenas</t>
        </is>
      </c>
      <c r="D118" s="8" t="inlineStr">
        <is>
          <t>T4 · VERDE</t>
        </is>
      </c>
      <c r="E118" s="5" t="inlineStr">
        <is>
          <t>Fiebre alta con convulsión</t>
        </is>
      </c>
      <c r="F118" s="6" t="n">
        <v>43</v>
      </c>
      <c r="G118" s="6" t="inlineStr">
        <is>
          <t>Adulto</t>
        </is>
      </c>
      <c r="H118" s="6" t="n">
        <v>25</v>
      </c>
      <c r="I118" s="6" t="n">
        <v>4285</v>
      </c>
      <c r="J118" s="5" t="inlineStr">
        <is>
          <t>Laura Gómez</t>
        </is>
      </c>
    </row>
    <row r="119">
      <c r="A119" s="14" t="n">
        <v>116</v>
      </c>
      <c r="B119" s="6" t="n">
        <v>111</v>
      </c>
      <c r="C119" s="5" t="inlineStr">
        <is>
          <t>Sofía Torres Herrera</t>
        </is>
      </c>
      <c r="D119" s="8" t="inlineStr">
        <is>
          <t>T4 · VERDE</t>
        </is>
      </c>
      <c r="E119" s="5" t="inlineStr">
        <is>
          <t>Fiebre alta con convulsión</t>
        </is>
      </c>
      <c r="F119" s="6" t="n">
        <v>43</v>
      </c>
      <c r="G119" s="6" t="inlineStr">
        <is>
          <t>Adulto</t>
        </is>
      </c>
      <c r="H119" s="6" t="n">
        <v>25</v>
      </c>
      <c r="I119" s="6" t="n">
        <v>4310</v>
      </c>
      <c r="J119" s="5" t="inlineStr">
        <is>
          <t>Andrés Martínez</t>
        </is>
      </c>
    </row>
    <row r="120">
      <c r="A120" s="13" t="n">
        <v>117</v>
      </c>
      <c r="B120" s="6" t="n">
        <v>44</v>
      </c>
      <c r="C120" s="5" t="inlineStr">
        <is>
          <t>Sebastián Muñoz Torres</t>
        </is>
      </c>
      <c r="D120" s="8" t="inlineStr">
        <is>
          <t>T4 · VERDE</t>
        </is>
      </c>
      <c r="E120" s="5" t="inlineStr">
        <is>
          <t>Herida con sangrado moderado</t>
        </is>
      </c>
      <c r="F120" s="6" t="n">
        <v>42</v>
      </c>
      <c r="G120" s="6" t="inlineStr">
        <is>
          <t>Adulto</t>
        </is>
      </c>
      <c r="H120" s="6" t="n">
        <v>20</v>
      </c>
      <c r="I120" s="6" t="n">
        <v>4335</v>
      </c>
      <c r="J120" s="5" t="inlineStr">
        <is>
          <t>Andrés Martínez</t>
        </is>
      </c>
    </row>
    <row r="121">
      <c r="A121" s="14" t="n">
        <v>118</v>
      </c>
      <c r="B121" s="6" t="n">
        <v>77</v>
      </c>
      <c r="C121" s="5" t="inlineStr">
        <is>
          <t>Alejandra Reyes Cruz</t>
        </is>
      </c>
      <c r="D121" s="8" t="inlineStr">
        <is>
          <t>T4 · VERDE</t>
        </is>
      </c>
      <c r="E121" s="5" t="inlineStr">
        <is>
          <t>Fiebre alta con convulsión</t>
        </is>
      </c>
      <c r="F121" s="6" t="n">
        <v>28</v>
      </c>
      <c r="G121" s="6" t="inlineStr">
        <is>
          <t>Adulto</t>
        </is>
      </c>
      <c r="H121" s="6" t="n">
        <v>25</v>
      </c>
      <c r="I121" s="6" t="n">
        <v>4355</v>
      </c>
      <c r="J121" s="5" t="inlineStr">
        <is>
          <t>Laura Gómez</t>
        </is>
      </c>
    </row>
    <row r="122">
      <c r="A122" s="13" t="n">
        <v>119</v>
      </c>
      <c r="B122" s="6" t="n">
        <v>78</v>
      </c>
      <c r="C122" s="5" t="inlineStr">
        <is>
          <t>Sebastián Medina Morales</t>
        </is>
      </c>
      <c r="D122" s="8" t="inlineStr">
        <is>
          <t>T4 · VERDE</t>
        </is>
      </c>
      <c r="E122" s="5" t="inlineStr">
        <is>
          <t>Fiebre alta con convulsión</t>
        </is>
      </c>
      <c r="F122" s="6" t="n">
        <v>53</v>
      </c>
      <c r="G122" s="6" t="inlineStr">
        <is>
          <t>Adulto</t>
        </is>
      </c>
      <c r="H122" s="6" t="n">
        <v>25</v>
      </c>
      <c r="I122" s="6" t="n">
        <v>4380</v>
      </c>
      <c r="J122" s="5" t="inlineStr">
        <is>
          <t>Felipe Herrera</t>
        </is>
      </c>
    </row>
    <row r="123">
      <c r="A123" s="14" t="n">
        <v>120</v>
      </c>
      <c r="B123" s="6" t="n">
        <v>27</v>
      </c>
      <c r="C123" s="5" t="inlineStr">
        <is>
          <t>Daniel Medina Gómez</t>
        </is>
      </c>
      <c r="D123" s="8" t="inlineStr">
        <is>
          <t>T4 · VERDE</t>
        </is>
      </c>
      <c r="E123" s="5" t="inlineStr">
        <is>
          <t>Fiebre alta con convulsión</t>
        </is>
      </c>
      <c r="F123" s="6" t="n">
        <v>34</v>
      </c>
      <c r="G123" s="6" t="inlineStr">
        <is>
          <t>Adulto</t>
        </is>
      </c>
      <c r="H123" s="6" t="n">
        <v>25</v>
      </c>
      <c r="I123" s="6" t="n">
        <v>4405</v>
      </c>
      <c r="J123" s="5" t="inlineStr">
        <is>
          <t>Felipe Herrera</t>
        </is>
      </c>
    </row>
    <row r="124">
      <c r="A124" s="13" t="n">
        <v>121</v>
      </c>
      <c r="B124" s="6" t="n">
        <v>36</v>
      </c>
      <c r="C124" s="5" t="inlineStr">
        <is>
          <t>Carlos Bernal Cruz</t>
        </is>
      </c>
      <c r="D124" s="8" t="inlineStr">
        <is>
          <t>T4 · VERDE</t>
        </is>
      </c>
      <c r="E124" s="5" t="inlineStr">
        <is>
          <t>Fiebre alta con convulsión</t>
        </is>
      </c>
      <c r="F124" s="6" t="n">
        <v>29</v>
      </c>
      <c r="G124" s="6" t="inlineStr">
        <is>
          <t>Adulto</t>
        </is>
      </c>
      <c r="H124" s="6" t="n">
        <v>25</v>
      </c>
      <c r="I124" s="6" t="n">
        <v>4430</v>
      </c>
      <c r="J124" s="5" t="inlineStr">
        <is>
          <t>Felipe Herrera</t>
        </is>
      </c>
    </row>
    <row r="125">
      <c r="A125" s="14" t="n">
        <v>122</v>
      </c>
      <c r="B125" s="6" t="n">
        <v>144</v>
      </c>
      <c r="C125" s="5" t="inlineStr">
        <is>
          <t>Alejandro Herrera Vargas</t>
        </is>
      </c>
      <c r="D125" s="8" t="inlineStr">
        <is>
          <t>T4 · VERDE</t>
        </is>
      </c>
      <c r="E125" s="5" t="inlineStr">
        <is>
          <t>Fiebre alta con convulsión</t>
        </is>
      </c>
      <c r="F125" s="6" t="n">
        <v>34</v>
      </c>
      <c r="G125" s="6" t="inlineStr">
        <is>
          <t>Adulto</t>
        </is>
      </c>
      <c r="H125" s="6" t="n">
        <v>25</v>
      </c>
      <c r="I125" s="6" t="n">
        <v>4455</v>
      </c>
      <c r="J125" s="5" t="inlineStr">
        <is>
          <t>Sofía Torres</t>
        </is>
      </c>
    </row>
    <row r="126">
      <c r="A126" s="13" t="n">
        <v>123</v>
      </c>
      <c r="B126" s="6" t="n">
        <v>30</v>
      </c>
      <c r="C126" s="5" t="inlineStr">
        <is>
          <t>Sofía Alvarado Bernal</t>
        </is>
      </c>
      <c r="D126" s="8" t="inlineStr">
        <is>
          <t>T4 · VERDE</t>
        </is>
      </c>
      <c r="E126" s="5" t="inlineStr">
        <is>
          <t>Herida con sangrado moderado</t>
        </is>
      </c>
      <c r="F126" s="6" t="n">
        <v>57</v>
      </c>
      <c r="G126" s="6" t="inlineStr">
        <is>
          <t>Adulto</t>
        </is>
      </c>
      <c r="H126" s="6" t="n">
        <v>20</v>
      </c>
      <c r="I126" s="6" t="n">
        <v>4480</v>
      </c>
      <c r="J126" s="5" t="inlineStr">
        <is>
          <t>Andrés Martínez</t>
        </is>
      </c>
    </row>
    <row r="127">
      <c r="A127" s="14" t="n">
        <v>124</v>
      </c>
      <c r="B127" s="6" t="n">
        <v>63</v>
      </c>
      <c r="C127" s="5" t="inlineStr">
        <is>
          <t>Camilo Moreno Ramírez</t>
        </is>
      </c>
      <c r="D127" s="8" t="inlineStr">
        <is>
          <t>T4 · VERDE</t>
        </is>
      </c>
      <c r="E127" s="5" t="inlineStr">
        <is>
          <t>Fiebre alta con convulsión</t>
        </is>
      </c>
      <c r="F127" s="6" t="n">
        <v>36</v>
      </c>
      <c r="G127" s="6" t="inlineStr">
        <is>
          <t>Adulto</t>
        </is>
      </c>
      <c r="H127" s="6" t="n">
        <v>25</v>
      </c>
      <c r="I127" s="6" t="n">
        <v>4500</v>
      </c>
      <c r="J127" s="5" t="inlineStr">
        <is>
          <t>Felipe Herrera</t>
        </is>
      </c>
    </row>
    <row r="128">
      <c r="A128" s="13" t="n">
        <v>125</v>
      </c>
      <c r="B128" s="6" t="n">
        <v>52</v>
      </c>
      <c r="C128" s="5" t="inlineStr">
        <is>
          <t>Isabella Castro Bernal</t>
        </is>
      </c>
      <c r="D128" s="8" t="inlineStr">
        <is>
          <t>T4 · VERDE</t>
        </is>
      </c>
      <c r="E128" s="5" t="inlineStr">
        <is>
          <t>Herida con sangrado moderado</t>
        </is>
      </c>
      <c r="F128" s="6" t="n">
        <v>21</v>
      </c>
      <c r="G128" s="6" t="inlineStr">
        <is>
          <t>Adulto</t>
        </is>
      </c>
      <c r="H128" s="6" t="n">
        <v>20</v>
      </c>
      <c r="I128" s="6" t="n">
        <v>4525</v>
      </c>
      <c r="J128" s="5" t="inlineStr">
        <is>
          <t>Felipe Herrera</t>
        </is>
      </c>
    </row>
    <row r="129">
      <c r="A129" s="14" t="n">
        <v>126</v>
      </c>
      <c r="B129" s="6" t="n">
        <v>150</v>
      </c>
      <c r="C129" s="5" t="inlineStr">
        <is>
          <t>Alejandro Díaz Martínez</t>
        </is>
      </c>
      <c r="D129" s="8" t="inlineStr">
        <is>
          <t>T4 · VERDE</t>
        </is>
      </c>
      <c r="E129" s="5" t="inlineStr">
        <is>
          <t>Fiebre alta con convulsión</t>
        </is>
      </c>
      <c r="F129" s="6" t="n">
        <v>45</v>
      </c>
      <c r="G129" s="6" t="inlineStr">
        <is>
          <t>Adulto</t>
        </is>
      </c>
      <c r="H129" s="6" t="n">
        <v>25</v>
      </c>
      <c r="I129" s="6" t="n">
        <v>4545</v>
      </c>
      <c r="J129" s="5" t="inlineStr">
        <is>
          <t>Carlos Ramírez</t>
        </is>
      </c>
    </row>
    <row r="130">
      <c r="A130" s="13" t="n">
        <v>127</v>
      </c>
      <c r="B130" s="6" t="n">
        <v>10</v>
      </c>
      <c r="C130" s="5" t="inlineStr">
        <is>
          <t>Isabella Cruz Ríos</t>
        </is>
      </c>
      <c r="D130" s="8" t="inlineStr">
        <is>
          <t>T4 · VERDE</t>
        </is>
      </c>
      <c r="E130" s="5" t="inlineStr">
        <is>
          <t>Herida con sangrado moderado</t>
        </is>
      </c>
      <c r="F130" s="6" t="n">
        <v>43</v>
      </c>
      <c r="G130" s="6" t="inlineStr">
        <is>
          <t>Adulto</t>
        </is>
      </c>
      <c r="H130" s="6" t="n">
        <v>20</v>
      </c>
      <c r="I130" s="6" t="n">
        <v>4570</v>
      </c>
      <c r="J130" s="5" t="inlineStr">
        <is>
          <t>Sofía Torres</t>
        </is>
      </c>
    </row>
    <row r="131">
      <c r="A131" s="14" t="n">
        <v>128</v>
      </c>
      <c r="B131" s="6" t="n">
        <v>25</v>
      </c>
      <c r="C131" s="5" t="inlineStr">
        <is>
          <t>Alejandra Medina Ríos</t>
        </is>
      </c>
      <c r="D131" s="8" t="inlineStr">
        <is>
          <t>T4 · VERDE</t>
        </is>
      </c>
      <c r="E131" s="5" t="inlineStr">
        <is>
          <t>Herida con sangrado moderado</t>
        </is>
      </c>
      <c r="F131" s="6" t="n">
        <v>54</v>
      </c>
      <c r="G131" s="6" t="inlineStr">
        <is>
          <t>Adulto</t>
        </is>
      </c>
      <c r="H131" s="6" t="n">
        <v>20</v>
      </c>
      <c r="I131" s="6" t="n">
        <v>4590</v>
      </c>
      <c r="J131" s="5" t="inlineStr">
        <is>
          <t>Felipe Herrera</t>
        </is>
      </c>
    </row>
    <row r="132">
      <c r="A132" s="13" t="n">
        <v>129</v>
      </c>
      <c r="B132" s="6" t="n">
        <v>8</v>
      </c>
      <c r="C132" s="5" t="inlineStr">
        <is>
          <t>María Morales Cárdenas</t>
        </is>
      </c>
      <c r="D132" s="8" t="inlineStr">
        <is>
          <t>T4 · VERDE</t>
        </is>
      </c>
      <c r="E132" s="5" t="inlineStr">
        <is>
          <t>Herida con sangrado moderado</t>
        </is>
      </c>
      <c r="F132" s="6" t="n">
        <v>27</v>
      </c>
      <c r="G132" s="6" t="inlineStr">
        <is>
          <t>Adulto</t>
        </is>
      </c>
      <c r="H132" s="6" t="n">
        <v>20</v>
      </c>
      <c r="I132" s="6" t="n">
        <v>4610</v>
      </c>
      <c r="J132" s="5" t="inlineStr">
        <is>
          <t>Andrés Martínez</t>
        </is>
      </c>
    </row>
    <row r="133">
      <c r="A133" s="14" t="n">
        <v>130</v>
      </c>
      <c r="B133" s="6" t="n">
        <v>75</v>
      </c>
      <c r="C133" s="5" t="inlineStr">
        <is>
          <t>Juan López Pardo</t>
        </is>
      </c>
      <c r="D133" s="10" t="inlineStr">
        <is>
          <t>T5 · AZUL</t>
        </is>
      </c>
      <c r="E133" s="5" t="inlineStr">
        <is>
          <t>Consulta menor (gripe, tos)</t>
        </is>
      </c>
      <c r="F133" s="6" t="n">
        <v>79</v>
      </c>
      <c r="G133" s="6" t="inlineStr">
        <is>
          <t>Anciano</t>
        </is>
      </c>
      <c r="H133" s="6" t="n">
        <v>10</v>
      </c>
      <c r="I133" s="6" t="n">
        <v>4630</v>
      </c>
      <c r="J133" s="5" t="inlineStr">
        <is>
          <t>Carlos Ramírez</t>
        </is>
      </c>
    </row>
    <row r="134">
      <c r="A134" s="13" t="n">
        <v>131</v>
      </c>
      <c r="B134" s="6" t="n">
        <v>105</v>
      </c>
      <c r="C134" s="5" t="inlineStr">
        <is>
          <t>David Muñoz Herrera</t>
        </is>
      </c>
      <c r="D134" s="10" t="inlineStr">
        <is>
          <t>T5 · AZUL</t>
        </is>
      </c>
      <c r="E134" s="5" t="inlineStr">
        <is>
          <t>Consulta menor (gripe, tos)</t>
        </is>
      </c>
      <c r="F134" s="6" t="n">
        <v>80</v>
      </c>
      <c r="G134" s="6" t="inlineStr">
        <is>
          <t>Anciano</t>
        </is>
      </c>
      <c r="H134" s="6" t="n">
        <v>10</v>
      </c>
      <c r="I134" s="6" t="n">
        <v>4640</v>
      </c>
      <c r="J134" s="5" t="inlineStr">
        <is>
          <t>Carlos Ramírez</t>
        </is>
      </c>
    </row>
    <row r="135">
      <c r="A135" s="14" t="n">
        <v>132</v>
      </c>
      <c r="B135" s="6" t="n">
        <v>128</v>
      </c>
      <c r="C135" s="5" t="inlineStr">
        <is>
          <t>Luis Martínez Ospina</t>
        </is>
      </c>
      <c r="D135" s="10" t="inlineStr">
        <is>
          <t>T5 · AZUL</t>
        </is>
      </c>
      <c r="E135" s="5" t="inlineStr">
        <is>
          <t>Dolor leve / Malestar general</t>
        </is>
      </c>
      <c r="F135" s="6" t="n">
        <v>77</v>
      </c>
      <c r="G135" s="6" t="inlineStr">
        <is>
          <t>Anciano</t>
        </is>
      </c>
      <c r="H135" s="6" t="n">
        <v>15</v>
      </c>
      <c r="I135" s="6" t="n">
        <v>4650</v>
      </c>
      <c r="J135" s="5" t="inlineStr">
        <is>
          <t>Andrés Martínez</t>
        </is>
      </c>
    </row>
    <row r="136">
      <c r="A136" s="13" t="n">
        <v>133</v>
      </c>
      <c r="B136" s="6" t="n">
        <v>124</v>
      </c>
      <c r="C136" s="5" t="inlineStr">
        <is>
          <t>Daniel Pardo Martínez</t>
        </is>
      </c>
      <c r="D136" s="10" t="inlineStr">
        <is>
          <t>T5 · AZUL</t>
        </is>
      </c>
      <c r="E136" s="5" t="inlineStr">
        <is>
          <t>Consulta menor (gripe, tos)</t>
        </is>
      </c>
      <c r="F136" s="6" t="n">
        <v>78</v>
      </c>
      <c r="G136" s="6" t="inlineStr">
        <is>
          <t>Anciano</t>
        </is>
      </c>
      <c r="H136" s="6" t="n">
        <v>10</v>
      </c>
      <c r="I136" s="6" t="n">
        <v>4665</v>
      </c>
      <c r="J136" s="5" t="inlineStr">
        <is>
          <t>Carlos Ramírez</t>
        </is>
      </c>
    </row>
    <row r="137">
      <c r="A137" s="14" t="n">
        <v>134</v>
      </c>
      <c r="B137" s="6" t="n">
        <v>121</v>
      </c>
      <c r="C137" s="5" t="inlineStr">
        <is>
          <t>Jorge Cárdenas López</t>
        </is>
      </c>
      <c r="D137" s="10" t="inlineStr">
        <is>
          <t>T5 · AZUL</t>
        </is>
      </c>
      <c r="E137" s="5" t="inlineStr">
        <is>
          <t>Consulta menor (gripe, tos)</t>
        </is>
      </c>
      <c r="F137" s="6" t="n">
        <v>81</v>
      </c>
      <c r="G137" s="6" t="inlineStr">
        <is>
          <t>Anciano</t>
        </is>
      </c>
      <c r="H137" s="6" t="n">
        <v>10</v>
      </c>
      <c r="I137" s="6" t="n">
        <v>4675</v>
      </c>
      <c r="J137" s="5" t="inlineStr">
        <is>
          <t>Sofía Torres</t>
        </is>
      </c>
    </row>
    <row r="138">
      <c r="A138" s="13" t="n">
        <v>135</v>
      </c>
      <c r="B138" s="6" t="n">
        <v>28</v>
      </c>
      <c r="C138" s="5" t="inlineStr">
        <is>
          <t>Juliana Herrera Alvarado</t>
        </is>
      </c>
      <c r="D138" s="10" t="inlineStr">
        <is>
          <t>T5 · AZUL</t>
        </is>
      </c>
      <c r="E138" s="5" t="inlineStr">
        <is>
          <t>Dolor leve / Malestar general</t>
        </is>
      </c>
      <c r="F138" s="6" t="n">
        <v>60</v>
      </c>
      <c r="G138" s="6" t="inlineStr">
        <is>
          <t>Adulto mayor</t>
        </is>
      </c>
      <c r="H138" s="6" t="n">
        <v>15</v>
      </c>
      <c r="I138" s="6" t="n">
        <v>4685</v>
      </c>
      <c r="J138" s="5" t="inlineStr">
        <is>
          <t>Laura Gómez</t>
        </is>
      </c>
    </row>
    <row r="139">
      <c r="A139" s="14" t="n">
        <v>136</v>
      </c>
      <c r="B139" s="6" t="n">
        <v>34</v>
      </c>
      <c r="C139" s="5" t="inlineStr">
        <is>
          <t>Natalia Rodríguez Muñoz</t>
        </is>
      </c>
      <c r="D139" s="10" t="inlineStr">
        <is>
          <t>T5 · AZUL</t>
        </is>
      </c>
      <c r="E139" s="5" t="inlineStr">
        <is>
          <t>Dolor leve / Malestar general</t>
        </is>
      </c>
      <c r="F139" s="6" t="n">
        <v>63</v>
      </c>
      <c r="G139" s="6" t="inlineStr">
        <is>
          <t>Adulto mayor</t>
        </is>
      </c>
      <c r="H139" s="6" t="n">
        <v>15</v>
      </c>
      <c r="I139" s="6" t="n">
        <v>4700</v>
      </c>
      <c r="J139" s="5" t="inlineStr">
        <is>
          <t>Carlos Ramírez</t>
        </is>
      </c>
    </row>
    <row r="140">
      <c r="A140" s="13" t="n">
        <v>137</v>
      </c>
      <c r="B140" s="6" t="n">
        <v>143</v>
      </c>
      <c r="C140" s="5" t="inlineStr">
        <is>
          <t>Mariana Herrera Moreno</t>
        </is>
      </c>
      <c r="D140" s="10" t="inlineStr">
        <is>
          <t>T5 · AZUL</t>
        </is>
      </c>
      <c r="E140" s="5" t="inlineStr">
        <is>
          <t>Consulta menor (gripe, tos)</t>
        </is>
      </c>
      <c r="F140" s="6" t="n">
        <v>67</v>
      </c>
      <c r="G140" s="6" t="inlineStr">
        <is>
          <t>Adulto mayor</t>
        </is>
      </c>
      <c r="H140" s="6" t="n">
        <v>10</v>
      </c>
      <c r="I140" s="6" t="n">
        <v>4715</v>
      </c>
      <c r="J140" s="5" t="inlineStr">
        <is>
          <t>Sofía Torres</t>
        </is>
      </c>
    </row>
    <row r="141">
      <c r="A141" s="14" t="n">
        <v>138</v>
      </c>
      <c r="B141" s="6" t="n">
        <v>58</v>
      </c>
      <c r="C141" s="5" t="inlineStr">
        <is>
          <t>Daniel Alvarado Gómez</t>
        </is>
      </c>
      <c r="D141" s="10" t="inlineStr">
        <is>
          <t>T5 · AZUL</t>
        </is>
      </c>
      <c r="E141" s="5" t="inlineStr">
        <is>
          <t>Dolor leve / Malestar general</t>
        </is>
      </c>
      <c r="F141" s="6" t="n">
        <v>73</v>
      </c>
      <c r="G141" s="6" t="inlineStr">
        <is>
          <t>Adulto mayor</t>
        </is>
      </c>
      <c r="H141" s="6" t="n">
        <v>15</v>
      </c>
      <c r="I141" s="6" t="n">
        <v>4725</v>
      </c>
      <c r="J141" s="5" t="inlineStr">
        <is>
          <t>Felipe Herrera</t>
        </is>
      </c>
    </row>
    <row r="142">
      <c r="A142" s="13" t="n">
        <v>139</v>
      </c>
      <c r="B142" s="6" t="n">
        <v>62</v>
      </c>
      <c r="C142" s="5" t="inlineStr">
        <is>
          <t>Alejandro García Martínez</t>
        </is>
      </c>
      <c r="D142" s="10" t="inlineStr">
        <is>
          <t>T5 · AZUL</t>
        </is>
      </c>
      <c r="E142" s="5" t="inlineStr">
        <is>
          <t>Dolor leve / Malestar general</t>
        </is>
      </c>
      <c r="F142" s="6" t="n">
        <v>68</v>
      </c>
      <c r="G142" s="6" t="inlineStr">
        <is>
          <t>Adulto mayor</t>
        </is>
      </c>
      <c r="H142" s="6" t="n">
        <v>15</v>
      </c>
      <c r="I142" s="6" t="n">
        <v>4740</v>
      </c>
      <c r="J142" s="5" t="inlineStr">
        <is>
          <t>Laura Gómez</t>
        </is>
      </c>
    </row>
    <row r="143">
      <c r="A143" s="14" t="n">
        <v>140</v>
      </c>
      <c r="B143" s="6" t="n">
        <v>135</v>
      </c>
      <c r="C143" s="5" t="inlineStr">
        <is>
          <t>Alejandra Morales Moreno</t>
        </is>
      </c>
      <c r="D143" s="10" t="inlineStr">
        <is>
          <t>T5 · AZUL</t>
        </is>
      </c>
      <c r="E143" s="5" t="inlineStr">
        <is>
          <t>Dolor leve / Malestar general</t>
        </is>
      </c>
      <c r="F143" s="6" t="n">
        <v>70</v>
      </c>
      <c r="G143" s="6" t="inlineStr">
        <is>
          <t>Adulto mayor</t>
        </is>
      </c>
      <c r="H143" s="6" t="n">
        <v>15</v>
      </c>
      <c r="I143" s="6" t="n">
        <v>4755</v>
      </c>
      <c r="J143" s="5" t="inlineStr">
        <is>
          <t>Felipe Herrera</t>
        </is>
      </c>
    </row>
    <row r="144">
      <c r="A144" s="13" t="n">
        <v>141</v>
      </c>
      <c r="B144" s="6" t="n">
        <v>6</v>
      </c>
      <c r="C144" s="5" t="inlineStr">
        <is>
          <t>Andrés Torres Herrera</t>
        </is>
      </c>
      <c r="D144" s="10" t="inlineStr">
        <is>
          <t>T5 · AZUL</t>
        </is>
      </c>
      <c r="E144" s="5" t="inlineStr">
        <is>
          <t>Consulta menor (gripe, tos)</t>
        </is>
      </c>
      <c r="F144" s="6" t="n">
        <v>20</v>
      </c>
      <c r="G144" s="6" t="inlineStr">
        <is>
          <t>Adulto</t>
        </is>
      </c>
      <c r="H144" s="6" t="n">
        <v>10</v>
      </c>
      <c r="I144" s="6" t="n">
        <v>4770</v>
      </c>
      <c r="J144" s="5" t="inlineStr">
        <is>
          <t>Sofía Torres</t>
        </is>
      </c>
    </row>
    <row r="145">
      <c r="A145" s="14" t="n">
        <v>142</v>
      </c>
      <c r="B145" s="6" t="n">
        <v>85</v>
      </c>
      <c r="C145" s="5" t="inlineStr">
        <is>
          <t>Mariana Gómez Bernal</t>
        </is>
      </c>
      <c r="D145" s="10" t="inlineStr">
        <is>
          <t>T5 · AZUL</t>
        </is>
      </c>
      <c r="E145" s="5" t="inlineStr">
        <is>
          <t>Consulta menor (gripe, tos)</t>
        </is>
      </c>
      <c r="F145" s="6" t="n">
        <v>54</v>
      </c>
      <c r="G145" s="6" t="inlineStr">
        <is>
          <t>Adulto</t>
        </is>
      </c>
      <c r="H145" s="6" t="n">
        <v>10</v>
      </c>
      <c r="I145" s="6" t="n">
        <v>4780</v>
      </c>
      <c r="J145" s="5" t="inlineStr">
        <is>
          <t>Carlos Ramírez</t>
        </is>
      </c>
    </row>
    <row r="146">
      <c r="A146" s="13" t="n">
        <v>143</v>
      </c>
      <c r="B146" s="6" t="n">
        <v>122</v>
      </c>
      <c r="C146" s="5" t="inlineStr">
        <is>
          <t>Mariana Medina Pardo</t>
        </is>
      </c>
      <c r="D146" s="10" t="inlineStr">
        <is>
          <t>T5 · AZUL</t>
        </is>
      </c>
      <c r="E146" s="5" t="inlineStr">
        <is>
          <t>Consulta menor (gripe, tos)</t>
        </is>
      </c>
      <c r="F146" s="6" t="n">
        <v>38</v>
      </c>
      <c r="G146" s="6" t="inlineStr">
        <is>
          <t>Adulto</t>
        </is>
      </c>
      <c r="H146" s="6" t="n">
        <v>10</v>
      </c>
      <c r="I146" s="6" t="n">
        <v>4790</v>
      </c>
      <c r="J146" s="5" t="inlineStr">
        <is>
          <t>Laura Gómez</t>
        </is>
      </c>
    </row>
    <row r="147">
      <c r="A147" s="14" t="n">
        <v>144</v>
      </c>
      <c r="B147" s="6" t="n">
        <v>117</v>
      </c>
      <c r="C147" s="5" t="inlineStr">
        <is>
          <t>Luis Medina Sánchez</t>
        </is>
      </c>
      <c r="D147" s="10" t="inlineStr">
        <is>
          <t>T5 · AZUL</t>
        </is>
      </c>
      <c r="E147" s="5" t="inlineStr">
        <is>
          <t>Dolor leve / Malestar general</t>
        </is>
      </c>
      <c r="F147" s="6" t="n">
        <v>16</v>
      </c>
      <c r="G147" s="6" t="inlineStr">
        <is>
          <t>Menor de edad</t>
        </is>
      </c>
      <c r="H147" s="6" t="n">
        <v>15</v>
      </c>
      <c r="I147" s="6" t="n">
        <v>4800</v>
      </c>
      <c r="J147" s="5" t="inlineStr">
        <is>
          <t>Sofía Torres</t>
        </is>
      </c>
    </row>
    <row r="148">
      <c r="A148" s="13" t="n">
        <v>145</v>
      </c>
      <c r="B148" s="6" t="n">
        <v>61</v>
      </c>
      <c r="C148" s="5" t="inlineStr">
        <is>
          <t>Daniel Jiménez Jiménez</t>
        </is>
      </c>
      <c r="D148" s="10" t="inlineStr">
        <is>
          <t>T5 · AZUL</t>
        </is>
      </c>
      <c r="E148" s="5" t="inlineStr">
        <is>
          <t>Consulta menor (gripe, tos)</t>
        </is>
      </c>
      <c r="F148" s="6" t="n">
        <v>39</v>
      </c>
      <c r="G148" s="6" t="inlineStr">
        <is>
          <t>Adulto</t>
        </is>
      </c>
      <c r="H148" s="6" t="n">
        <v>10</v>
      </c>
      <c r="I148" s="6" t="n">
        <v>4815</v>
      </c>
      <c r="J148" s="5" t="inlineStr">
        <is>
          <t>Laura Gómez</t>
        </is>
      </c>
    </row>
    <row r="149">
      <c r="A149" s="14" t="n">
        <v>146</v>
      </c>
      <c r="B149" s="6" t="n">
        <v>68</v>
      </c>
      <c r="C149" s="5" t="inlineStr">
        <is>
          <t>Alejandra Gómez Rodríguez</t>
        </is>
      </c>
      <c r="D149" s="10" t="inlineStr">
        <is>
          <t>T5 · AZUL</t>
        </is>
      </c>
      <c r="E149" s="5" t="inlineStr">
        <is>
          <t>Consulta menor (gripe, tos)</t>
        </is>
      </c>
      <c r="F149" s="6" t="n">
        <v>54</v>
      </c>
      <c r="G149" s="6" t="inlineStr">
        <is>
          <t>Adulto</t>
        </is>
      </c>
      <c r="H149" s="6" t="n">
        <v>10</v>
      </c>
      <c r="I149" s="6" t="n">
        <v>4825</v>
      </c>
      <c r="J149" s="5" t="inlineStr">
        <is>
          <t>Andrés Martínez</t>
        </is>
      </c>
    </row>
    <row r="150">
      <c r="A150" s="13" t="n">
        <v>147</v>
      </c>
      <c r="B150" s="6" t="n">
        <v>149</v>
      </c>
      <c r="C150" s="5" t="inlineStr">
        <is>
          <t>Daniela Sánchez Muñoz</t>
        </is>
      </c>
      <c r="D150" s="10" t="inlineStr">
        <is>
          <t>T5 · AZUL</t>
        </is>
      </c>
      <c r="E150" s="5" t="inlineStr">
        <is>
          <t>Consulta menor (gripe, tos)</t>
        </is>
      </c>
      <c r="F150" s="6" t="n">
        <v>23</v>
      </c>
      <c r="G150" s="6" t="inlineStr">
        <is>
          <t>Adulto</t>
        </is>
      </c>
      <c r="H150" s="6" t="n">
        <v>10</v>
      </c>
      <c r="I150" s="6" t="n">
        <v>4835</v>
      </c>
      <c r="J150" s="5" t="inlineStr">
        <is>
          <t>Carlos Ramírez</t>
        </is>
      </c>
    </row>
    <row r="151">
      <c r="A151" s="14" t="n">
        <v>148</v>
      </c>
      <c r="B151" s="6" t="n">
        <v>4</v>
      </c>
      <c r="C151" s="5" t="inlineStr">
        <is>
          <t>Carlos Torres Ramírez</t>
        </is>
      </c>
      <c r="D151" s="10" t="inlineStr">
        <is>
          <t>T5 · AZUL</t>
        </is>
      </c>
      <c r="E151" s="5" t="inlineStr">
        <is>
          <t>Dolor leve / Malestar general</t>
        </is>
      </c>
      <c r="F151" s="6" t="n">
        <v>54</v>
      </c>
      <c r="G151" s="6" t="inlineStr">
        <is>
          <t>Adulto</t>
        </is>
      </c>
      <c r="H151" s="6" t="n">
        <v>15</v>
      </c>
      <c r="I151" s="6" t="n">
        <v>4845</v>
      </c>
      <c r="J151" s="5" t="inlineStr">
        <is>
          <t>Andrés Martínez</t>
        </is>
      </c>
    </row>
    <row r="152">
      <c r="A152" s="13" t="n">
        <v>149</v>
      </c>
      <c r="B152" s="6" t="n">
        <v>96</v>
      </c>
      <c r="C152" s="5" t="inlineStr">
        <is>
          <t>Santiago Reyes Pardo</t>
        </is>
      </c>
      <c r="D152" s="10" t="inlineStr">
        <is>
          <t>T5 · AZUL</t>
        </is>
      </c>
      <c r="E152" s="5" t="inlineStr">
        <is>
          <t>Dolor leve / Malestar general</t>
        </is>
      </c>
      <c r="F152" s="6" t="n">
        <v>27</v>
      </c>
      <c r="G152" s="6" t="inlineStr">
        <is>
          <t>Adulto</t>
        </is>
      </c>
      <c r="H152" s="6" t="n">
        <v>15</v>
      </c>
      <c r="I152" s="6" t="n">
        <v>4860</v>
      </c>
      <c r="J152" s="5" t="inlineStr">
        <is>
          <t>Carlos Ramírez</t>
        </is>
      </c>
    </row>
    <row r="153">
      <c r="A153" s="14" t="n">
        <v>150</v>
      </c>
      <c r="B153" s="6" t="n">
        <v>140</v>
      </c>
      <c r="C153" s="5" t="inlineStr">
        <is>
          <t>Jorge Sánchez Cruz</t>
        </is>
      </c>
      <c r="D153" s="10" t="inlineStr">
        <is>
          <t>T5 · AZUL</t>
        </is>
      </c>
      <c r="E153" s="5" t="inlineStr">
        <is>
          <t>Dolor leve / Malestar general</t>
        </is>
      </c>
      <c r="F153" s="6" t="n">
        <v>40</v>
      </c>
      <c r="G153" s="6" t="inlineStr">
        <is>
          <t>Adulto</t>
        </is>
      </c>
      <c r="H153" s="6" t="n">
        <v>15</v>
      </c>
      <c r="I153" s="6" t="n">
        <v>4875</v>
      </c>
      <c r="J153" s="5" t="inlineStr">
        <is>
          <t>Laura Gómez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📊 DASHBOARD GENERAL — SIMULACIÓN HORAS PICO URGENCIAS</t>
        </is>
      </c>
    </row>
    <row r="3">
      <c r="A3" s="15" t="inlineStr">
        <is>
          <t>KPIs GLOBALES</t>
        </is>
      </c>
      <c r="F3" s="15" t="inlineStr">
        <is>
          <t>DISTRIBUCIÓN POR TRIAGE</t>
        </is>
      </c>
    </row>
    <row r="4">
      <c r="A4" s="16" t="inlineStr">
        <is>
          <t>Total pacientes</t>
        </is>
      </c>
      <c r="B4" s="17" t="n">
        <v>150</v>
      </c>
      <c r="F4" s="3" t="inlineStr">
        <is>
          <t>NIVEL TRIAGE</t>
        </is>
      </c>
      <c r="G4" s="3" t="inlineStr">
        <is>
          <t>N° PACIENTES</t>
        </is>
      </c>
      <c r="H4" s="3" t="inlineStr">
        <is>
          <t>% DEL TOTAL</t>
        </is>
      </c>
      <c r="I4" s="3" t="inlineStr">
        <is>
          <t>T. ATENC. PROM.</t>
        </is>
      </c>
      <c r="J4" s="3" t="inlineStr">
        <is>
          <t>T. ESPERA PROM.</t>
        </is>
      </c>
    </row>
    <row r="5">
      <c r="A5" s="16" t="inlineStr">
        <is>
          <t>T. espera prom. (min)</t>
        </is>
      </c>
      <c r="B5" s="17" t="n">
        <v>58.6</v>
      </c>
      <c r="F5" s="9" t="inlineStr">
        <is>
          <t>T1 · ROJO</t>
        </is>
      </c>
      <c r="G5" s="6" t="n">
        <v>13</v>
      </c>
      <c r="H5" s="6" t="inlineStr">
        <is>
          <t>8.7%</t>
        </is>
      </c>
      <c r="I5" s="6" t="inlineStr">
        <is>
          <t>66.9 min</t>
        </is>
      </c>
      <c r="J5" s="6" t="inlineStr">
        <is>
          <t>73.2 min</t>
        </is>
      </c>
    </row>
    <row r="6">
      <c r="A6" s="16" t="inlineStr">
        <is>
          <t>T. atención prom. (min)</t>
        </is>
      </c>
      <c r="B6" s="17" t="n">
        <v>32.6</v>
      </c>
      <c r="F6" s="11" t="inlineStr">
        <is>
          <t>T2 · NARANJA</t>
        </is>
      </c>
      <c r="G6" s="6" t="n">
        <v>24</v>
      </c>
      <c r="H6" s="6" t="inlineStr">
        <is>
          <t>16.0%</t>
        </is>
      </c>
      <c r="I6" s="6" t="inlineStr">
        <is>
          <t>47.1 min</t>
        </is>
      </c>
      <c r="J6" s="6" t="inlineStr">
        <is>
          <t>58.5 min</t>
        </is>
      </c>
    </row>
    <row r="7">
      <c r="A7" s="16" t="inlineStr">
        <is>
          <t>T. total prom. (min)</t>
        </is>
      </c>
      <c r="B7" s="17" t="n">
        <v>91.2</v>
      </c>
      <c r="F7" s="7" t="inlineStr">
        <is>
          <t>T3 · AMARILLO</t>
        </is>
      </c>
      <c r="G7" s="6" t="n">
        <v>54</v>
      </c>
      <c r="H7" s="6" t="inlineStr">
        <is>
          <t>36.0%</t>
        </is>
      </c>
      <c r="I7" s="6" t="inlineStr">
        <is>
          <t>32.5 min</t>
        </is>
      </c>
      <c r="J7" s="6" t="inlineStr">
        <is>
          <t>59.4 min</t>
        </is>
      </c>
    </row>
    <row r="8">
      <c r="A8" s="16" t="inlineStr">
        <is>
          <t>T. espera máx (min)</t>
        </is>
      </c>
      <c r="B8" s="17" t="n">
        <v>120</v>
      </c>
      <c r="F8" s="8" t="inlineStr">
        <is>
          <t>T4 · VERDE</t>
        </is>
      </c>
      <c r="G8" s="6" t="n">
        <v>38</v>
      </c>
      <c r="H8" s="6" t="inlineStr">
        <is>
          <t>25.3%</t>
        </is>
      </c>
      <c r="I8" s="6" t="inlineStr">
        <is>
          <t>23.0 min</t>
        </is>
      </c>
      <c r="J8" s="6" t="inlineStr">
        <is>
          <t>53.6 min</t>
        </is>
      </c>
    </row>
    <row r="9">
      <c r="A9" s="16" t="inlineStr">
        <is>
          <t>T. total máx (min)</t>
        </is>
      </c>
      <c r="B9" s="17" t="n">
        <v>172</v>
      </c>
      <c r="F9" s="10" t="inlineStr">
        <is>
          <t>T5 · AZUL</t>
        </is>
      </c>
      <c r="G9" s="6" t="n">
        <v>21</v>
      </c>
      <c r="H9" s="6" t="inlineStr">
        <is>
          <t>14.0%</t>
        </is>
      </c>
      <c r="I9" s="6" t="inlineStr">
        <is>
          <t>12.4 min</t>
        </is>
      </c>
      <c r="J9" s="6" t="inlineStr">
        <is>
          <t>56.8 min</t>
        </is>
      </c>
    </row>
    <row r="10">
      <c r="A10" s="16" t="inlineStr">
        <is>
          <t>Pacientes T1 críticos</t>
        </is>
      </c>
      <c r="B10" s="17" t="n">
        <v>13</v>
      </c>
    </row>
    <row r="11">
      <c r="A11" s="16" t="inlineStr">
        <is>
          <t>Doctores en turno</t>
        </is>
      </c>
      <c r="B11" s="17" t="n">
        <v>5</v>
      </c>
    </row>
    <row r="12">
      <c r="A12" s="15" t="inlineStr">
        <is>
          <t>CARGA POR DOCTOR</t>
        </is>
      </c>
    </row>
    <row r="13">
      <c r="A13" s="3" t="inlineStr">
        <is>
          <t>ID</t>
        </is>
      </c>
      <c r="B13" s="3" t="inlineStr">
        <is>
          <t>NOMBRE</t>
        </is>
      </c>
      <c r="C13" s="3" t="inlineStr">
        <is>
          <t>ESPECIALIDAD</t>
        </is>
      </c>
      <c r="D13" s="3" t="inlineStr">
        <is>
          <t>N° PACIENTES</t>
        </is>
      </c>
      <c r="E13" s="3" t="inlineStr">
        <is>
          <t>T. TOTAL CARGA (min)</t>
        </is>
      </c>
    </row>
    <row r="14">
      <c r="A14" s="18" t="inlineStr">
        <is>
          <t>MED001</t>
        </is>
      </c>
      <c r="B14" s="19" t="inlineStr">
        <is>
          <t>Carlos Ramírez</t>
        </is>
      </c>
      <c r="C14" s="19" t="inlineStr">
        <is>
          <t>Medicina de Emergencias</t>
        </is>
      </c>
      <c r="D14" s="20" t="n">
        <v>32</v>
      </c>
      <c r="E14" s="18" t="n">
        <v>955</v>
      </c>
    </row>
    <row r="15">
      <c r="A15" s="21" t="inlineStr">
        <is>
          <t>MED002</t>
        </is>
      </c>
      <c r="B15" s="22" t="inlineStr">
        <is>
          <t>Laura Gómez</t>
        </is>
      </c>
      <c r="C15" s="22" t="inlineStr">
        <is>
          <t>Cirugía General</t>
        </is>
      </c>
      <c r="D15" s="14" t="n">
        <v>30</v>
      </c>
      <c r="E15" s="21" t="n">
        <v>945</v>
      </c>
    </row>
    <row r="16">
      <c r="A16" s="18" t="inlineStr">
        <is>
          <t>MED003</t>
        </is>
      </c>
      <c r="B16" s="19" t="inlineStr">
        <is>
          <t>Andrés Martínez</t>
        </is>
      </c>
      <c r="C16" s="19" t="inlineStr">
        <is>
          <t>Cardiología</t>
        </is>
      </c>
      <c r="D16" s="20" t="n">
        <v>30</v>
      </c>
      <c r="E16" s="18" t="n">
        <v>1120</v>
      </c>
    </row>
    <row r="17">
      <c r="A17" s="21" t="inlineStr">
        <is>
          <t>MED004</t>
        </is>
      </c>
      <c r="B17" s="22" t="inlineStr">
        <is>
          <t>Sofía Torres</t>
        </is>
      </c>
      <c r="C17" s="22" t="inlineStr">
        <is>
          <t>Neurología</t>
        </is>
      </c>
      <c r="D17" s="14" t="n">
        <v>24</v>
      </c>
      <c r="E17" s="21" t="n">
        <v>750</v>
      </c>
    </row>
    <row r="18">
      <c r="A18" s="18" t="inlineStr">
        <is>
          <t>MED005</t>
        </is>
      </c>
      <c r="B18" s="19" t="inlineStr">
        <is>
          <t>Felipe Herrera</t>
        </is>
      </c>
      <c r="C18" s="19" t="inlineStr">
        <is>
          <t>Traumatología</t>
        </is>
      </c>
      <c r="D18" s="20" t="n">
        <v>34</v>
      </c>
      <c r="E18" s="18" t="n">
        <v>1120</v>
      </c>
    </row>
    <row r="19">
      <c r="A19" s="23" t="inlineStr">
        <is>
          <t>NIVEL</t>
        </is>
      </c>
      <c r="B19" s="23" t="inlineStr">
        <is>
          <t>CANT</t>
        </is>
      </c>
    </row>
    <row r="20">
      <c r="A20" t="inlineStr">
        <is>
          <t>T1 · ROJO</t>
        </is>
      </c>
      <c r="B20" t="n">
        <v>13</v>
      </c>
    </row>
    <row r="21">
      <c r="A21" t="inlineStr">
        <is>
          <t>T2 · NARANJA</t>
        </is>
      </c>
      <c r="B21" t="n">
        <v>24</v>
      </c>
    </row>
    <row r="22">
      <c r="A22" t="inlineStr">
        <is>
          <t>T3 · AMARILLO</t>
        </is>
      </c>
      <c r="B22" t="n">
        <v>54</v>
      </c>
    </row>
    <row r="23">
      <c r="A23" t="inlineStr">
        <is>
          <t>T4 · VERDE</t>
        </is>
      </c>
      <c r="B23" t="n">
        <v>38</v>
      </c>
    </row>
    <row r="24">
      <c r="A24" t="inlineStr">
        <is>
          <t>T5 · AZUL</t>
        </is>
      </c>
      <c r="B24" t="n">
        <v>21</v>
      </c>
    </row>
    <row r="27">
      <c r="A27" s="23" t="inlineStr">
        <is>
          <t>DOCTOR</t>
        </is>
      </c>
      <c r="B27" s="23" t="inlineStr">
        <is>
          <t>PACIENTES</t>
        </is>
      </c>
    </row>
    <row r="28">
      <c r="A28" t="inlineStr">
        <is>
          <t>Carlos</t>
        </is>
      </c>
      <c r="B28" t="n">
        <v>32</v>
      </c>
    </row>
    <row r="29">
      <c r="A29" t="inlineStr">
        <is>
          <t>Laura</t>
        </is>
      </c>
      <c r="B29" t="n">
        <v>30</v>
      </c>
    </row>
    <row r="30">
      <c r="A30" t="inlineStr">
        <is>
          <t>Andrés</t>
        </is>
      </c>
      <c r="B30" t="n">
        <v>30</v>
      </c>
    </row>
    <row r="31">
      <c r="A31" t="inlineStr">
        <is>
          <t>Sofía</t>
        </is>
      </c>
      <c r="B31" t="n">
        <v>24</v>
      </c>
    </row>
    <row r="32">
      <c r="A32" t="inlineStr">
        <is>
          <t>Felipe</t>
        </is>
      </c>
      <c r="B32" t="n">
        <v>34</v>
      </c>
    </row>
  </sheetData>
  <mergeCells count="4">
    <mergeCell ref="A1:J1"/>
    <mergeCell ref="A12:E12"/>
    <mergeCell ref="F3:J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4" customWidth="1" min="5" max="5"/>
    <col width="6" customWidth="1" min="6" max="6"/>
    <col width="14" customWidth="1" min="7" max="7"/>
    <col width="10" customWidth="1" min="8" max="8"/>
    <col width="14" customWidth="1" min="9" max="9"/>
    <col width="15" customWidth="1" min="10" max="10"/>
    <col width="12" customWidth="1" min="11" max="11"/>
    <col width="24" customWidth="1" min="12" max="12"/>
  </cols>
  <sheetData>
    <row r="1">
      <c r="A1" s="12" t="inlineStr">
        <is>
          <t>👤 DASHBOARD POR PACIENTE — TIEMPOS Y PRIORIDAD EN COLA</t>
        </is>
      </c>
    </row>
    <row r="2">
      <c r="A2" s="2" t="inlineStr">
        <is>
          <t>Cada fila = un paciente con sus métricas de atención. Coloreado por nivel de triage.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HORA REG.</t>
        </is>
      </c>
      <c r="I3" s="3" t="inlineStr">
        <is>
          <t>T. ESPERA (min)</t>
        </is>
      </c>
      <c r="J3" s="3" t="inlineStr">
        <is>
          <t>T. ATENCIÓN (min)</t>
        </is>
      </c>
      <c r="K3" s="3" t="inlineStr">
        <is>
          <t>T. TOTAL (min)</t>
        </is>
      </c>
      <c r="L3" s="3" t="inlineStr">
        <is>
          <t>DOCTOR</t>
        </is>
      </c>
    </row>
    <row r="4">
      <c r="A4" s="9" t="n">
        <v>1</v>
      </c>
      <c r="B4" s="24" t="n">
        <v>18</v>
      </c>
      <c r="C4" s="25" t="inlineStr">
        <is>
          <t>Santiago Muñoz Torres</t>
        </is>
      </c>
      <c r="D4" s="9" t="inlineStr">
        <is>
          <t>T1 · ROJO</t>
        </is>
      </c>
      <c r="E4" s="25" t="inlineStr">
        <is>
          <t>Politraumatismo grave</t>
        </is>
      </c>
      <c r="F4" s="24" t="n">
        <v>77</v>
      </c>
      <c r="G4" s="24" t="inlineStr">
        <is>
          <t>Anciano</t>
        </is>
      </c>
      <c r="H4" s="24" t="inlineStr">
        <is>
          <t>07:22:00</t>
        </is>
      </c>
      <c r="I4" s="24" t="n">
        <v>0</v>
      </c>
      <c r="J4" s="24" t="n">
        <v>90</v>
      </c>
      <c r="K4" s="26" t="n">
        <v>90</v>
      </c>
      <c r="L4" s="25" t="inlineStr">
        <is>
          <t>Andrés Martínez</t>
        </is>
      </c>
    </row>
    <row r="5">
      <c r="A5" s="9" t="n">
        <v>2</v>
      </c>
      <c r="B5" s="21" t="n">
        <v>127</v>
      </c>
      <c r="C5" s="22" t="inlineStr">
        <is>
          <t>Ricardo Sánchez Gómez</t>
        </is>
      </c>
      <c r="D5" s="9" t="inlineStr">
        <is>
          <t>T1 · ROJO</t>
        </is>
      </c>
      <c r="E5" s="22" t="inlineStr">
        <is>
          <t>Paro cardiorrespiratorio</t>
        </is>
      </c>
      <c r="F5" s="21" t="n">
        <v>88</v>
      </c>
      <c r="G5" s="21" t="inlineStr">
        <is>
          <t>Anciano</t>
        </is>
      </c>
      <c r="H5" s="21" t="inlineStr">
        <is>
          <t>09:56:00</t>
        </is>
      </c>
      <c r="I5" s="21" t="n">
        <v>90</v>
      </c>
      <c r="J5" s="21" t="n">
        <v>60</v>
      </c>
      <c r="K5" s="27" t="n">
        <v>150</v>
      </c>
      <c r="L5" s="22" t="inlineStr">
        <is>
          <t>Sofía Torres</t>
        </is>
      </c>
    </row>
    <row r="6">
      <c r="A6" s="9" t="n">
        <v>3</v>
      </c>
      <c r="B6" s="24" t="n">
        <v>16</v>
      </c>
      <c r="C6" s="25" t="inlineStr">
        <is>
          <t>Juliana Pardo Ríos</t>
        </is>
      </c>
      <c r="D6" s="9" t="inlineStr">
        <is>
          <t>T1 · ROJO</t>
        </is>
      </c>
      <c r="E6" s="25" t="inlineStr">
        <is>
          <t>Paro cardiorrespiratorio</t>
        </is>
      </c>
      <c r="F6" s="24" t="n">
        <v>63</v>
      </c>
      <c r="G6" s="24" t="inlineStr">
        <is>
          <t>Adulto mayor</t>
        </is>
      </c>
      <c r="H6" s="24" t="inlineStr">
        <is>
          <t>07:09:00</t>
        </is>
      </c>
      <c r="I6" s="24" t="n">
        <v>150</v>
      </c>
      <c r="J6" s="24" t="n">
        <v>60</v>
      </c>
      <c r="K6" s="27" t="n">
        <v>210</v>
      </c>
      <c r="L6" s="25" t="inlineStr">
        <is>
          <t>Andrés Martínez</t>
        </is>
      </c>
    </row>
    <row r="7">
      <c r="A7" s="9" t="n">
        <v>4</v>
      </c>
      <c r="B7" s="21" t="n">
        <v>147</v>
      </c>
      <c r="C7" s="22" t="inlineStr">
        <is>
          <t>Alejandra Martínez Alvarado</t>
        </is>
      </c>
      <c r="D7" s="9" t="inlineStr">
        <is>
          <t>T1 · ROJO</t>
        </is>
      </c>
      <c r="E7" s="22" t="inlineStr">
        <is>
          <t>Paro cardiorrespiratorio</t>
        </is>
      </c>
      <c r="F7" s="21" t="n">
        <v>65</v>
      </c>
      <c r="G7" s="21" t="inlineStr">
        <is>
          <t>Adulto mayor</t>
        </is>
      </c>
      <c r="H7" s="21" t="inlineStr">
        <is>
          <t>17:33:00</t>
        </is>
      </c>
      <c r="I7" s="21" t="n">
        <v>210</v>
      </c>
      <c r="J7" s="21" t="n">
        <v>60</v>
      </c>
      <c r="K7" s="27" t="n">
        <v>270</v>
      </c>
      <c r="L7" s="22" t="inlineStr">
        <is>
          <t>Felipe Herrera</t>
        </is>
      </c>
    </row>
    <row r="8">
      <c r="A8" s="9" t="n">
        <v>5</v>
      </c>
      <c r="B8" s="24" t="n">
        <v>79</v>
      </c>
      <c r="C8" s="25" t="inlineStr">
        <is>
          <t>María Cruz Herrera</t>
        </is>
      </c>
      <c r="D8" s="9" t="inlineStr">
        <is>
          <t>T1 · ROJO</t>
        </is>
      </c>
      <c r="E8" s="25" t="inlineStr">
        <is>
          <t>Paro cardiorrespiratorio</t>
        </is>
      </c>
      <c r="F8" s="24" t="n">
        <v>62</v>
      </c>
      <c r="G8" s="24" t="inlineStr">
        <is>
          <t>Adulto mayor</t>
        </is>
      </c>
      <c r="H8" s="24" t="inlineStr">
        <is>
          <t>18:27:00</t>
        </is>
      </c>
      <c r="I8" s="24" t="n">
        <v>270</v>
      </c>
      <c r="J8" s="24" t="n">
        <v>60</v>
      </c>
      <c r="K8" s="27" t="n">
        <v>330</v>
      </c>
      <c r="L8" s="25" t="inlineStr">
        <is>
          <t>Andrés Martínez</t>
        </is>
      </c>
    </row>
    <row r="9">
      <c r="A9" s="9" t="n">
        <v>6</v>
      </c>
      <c r="B9" s="21" t="n">
        <v>17</v>
      </c>
      <c r="C9" s="22" t="inlineStr">
        <is>
          <t>Ricardo Medina Torres</t>
        </is>
      </c>
      <c r="D9" s="9" t="inlineStr">
        <is>
          <t>T1 · ROJO</t>
        </is>
      </c>
      <c r="E9" s="22" t="inlineStr">
        <is>
          <t>Paro cardiorrespiratorio</t>
        </is>
      </c>
      <c r="F9" s="21" t="n">
        <v>20</v>
      </c>
      <c r="G9" s="21" t="inlineStr">
        <is>
          <t>Adulto</t>
        </is>
      </c>
      <c r="H9" s="21" t="inlineStr">
        <is>
          <t>10:46:00</t>
        </is>
      </c>
      <c r="I9" s="21" t="n">
        <v>330</v>
      </c>
      <c r="J9" s="21" t="n">
        <v>60</v>
      </c>
      <c r="K9" s="27" t="n">
        <v>390</v>
      </c>
      <c r="L9" s="22" t="inlineStr">
        <is>
          <t>Felipe Herrera</t>
        </is>
      </c>
    </row>
    <row r="10">
      <c r="A10" s="9" t="n">
        <v>7</v>
      </c>
      <c r="B10" s="24" t="n">
        <v>103</v>
      </c>
      <c r="C10" s="25" t="inlineStr">
        <is>
          <t>Fernanda Moreno Medina</t>
        </is>
      </c>
      <c r="D10" s="9" t="inlineStr">
        <is>
          <t>T1 · ROJO</t>
        </is>
      </c>
      <c r="E10" s="25" t="inlineStr">
        <is>
          <t>Politraumatismo grave</t>
        </is>
      </c>
      <c r="F10" s="24" t="n">
        <v>33</v>
      </c>
      <c r="G10" s="24" t="inlineStr">
        <is>
          <t>Adulto</t>
        </is>
      </c>
      <c r="H10" s="24" t="inlineStr">
        <is>
          <t>11:08:00</t>
        </is>
      </c>
      <c r="I10" s="24" t="n">
        <v>390</v>
      </c>
      <c r="J10" s="24" t="n">
        <v>90</v>
      </c>
      <c r="K10" s="27" t="n">
        <v>480</v>
      </c>
      <c r="L10" s="25" t="inlineStr">
        <is>
          <t>Carlos Ramírez</t>
        </is>
      </c>
    </row>
    <row r="11">
      <c r="A11" s="9" t="n">
        <v>8</v>
      </c>
      <c r="B11" s="21" t="n">
        <v>130</v>
      </c>
      <c r="C11" s="22" t="inlineStr">
        <is>
          <t>Juliana Alvarado Bernal</t>
        </is>
      </c>
      <c r="D11" s="9" t="inlineStr">
        <is>
          <t>T1 · ROJO</t>
        </is>
      </c>
      <c r="E11" s="22" t="inlineStr">
        <is>
          <t>Paro cardiorrespiratorio</t>
        </is>
      </c>
      <c r="F11" s="21" t="n">
        <v>9</v>
      </c>
      <c r="G11" s="21" t="inlineStr">
        <is>
          <t>Menor de edad</t>
        </is>
      </c>
      <c r="H11" s="21" t="inlineStr">
        <is>
          <t>13:34:00</t>
        </is>
      </c>
      <c r="I11" s="21" t="n">
        <v>480</v>
      </c>
      <c r="J11" s="21" t="n">
        <v>60</v>
      </c>
      <c r="K11" s="27" t="n">
        <v>540</v>
      </c>
      <c r="L11" s="22" t="inlineStr">
        <is>
          <t>Felipe Herrera</t>
        </is>
      </c>
    </row>
    <row r="12">
      <c r="A12" s="9" t="n">
        <v>9</v>
      </c>
      <c r="B12" s="24" t="n">
        <v>60</v>
      </c>
      <c r="C12" s="25" t="inlineStr">
        <is>
          <t>Daniela Moreno Ospina</t>
        </is>
      </c>
      <c r="D12" s="9" t="inlineStr">
        <is>
          <t>T1 · ROJO</t>
        </is>
      </c>
      <c r="E12" s="25" t="inlineStr">
        <is>
          <t>Paro cardiorrespiratorio</t>
        </is>
      </c>
      <c r="F12" s="24" t="n">
        <v>55</v>
      </c>
      <c r="G12" s="24" t="inlineStr">
        <is>
          <t>Adulto</t>
        </is>
      </c>
      <c r="H12" s="24" t="inlineStr">
        <is>
          <t>14:00:00</t>
        </is>
      </c>
      <c r="I12" s="24" t="n">
        <v>540</v>
      </c>
      <c r="J12" s="24" t="n">
        <v>60</v>
      </c>
      <c r="K12" s="27" t="n">
        <v>600</v>
      </c>
      <c r="L12" s="25" t="inlineStr">
        <is>
          <t>Carlos Ramírez</t>
        </is>
      </c>
    </row>
    <row r="13">
      <c r="A13" s="9" t="n">
        <v>10</v>
      </c>
      <c r="B13" s="21" t="n">
        <v>148</v>
      </c>
      <c r="C13" s="22" t="inlineStr">
        <is>
          <t>Fernanda Jiménez Jiménez</t>
        </is>
      </c>
      <c r="D13" s="9" t="inlineStr">
        <is>
          <t>T1 · ROJO</t>
        </is>
      </c>
      <c r="E13" s="22" t="inlineStr">
        <is>
          <t>Paro cardiorrespiratorio</t>
        </is>
      </c>
      <c r="F13" s="21" t="n">
        <v>10</v>
      </c>
      <c r="G13" s="21" t="inlineStr">
        <is>
          <t>Menor de edad</t>
        </is>
      </c>
      <c r="H13" s="21" t="inlineStr">
        <is>
          <t>15:02:00</t>
        </is>
      </c>
      <c r="I13" s="21" t="n">
        <v>600</v>
      </c>
      <c r="J13" s="21" t="n">
        <v>60</v>
      </c>
      <c r="K13" s="27" t="n">
        <v>660</v>
      </c>
      <c r="L13" s="22" t="inlineStr">
        <is>
          <t>Andrés Martínez</t>
        </is>
      </c>
    </row>
    <row r="14">
      <c r="A14" s="9" t="n">
        <v>11</v>
      </c>
      <c r="B14" s="24" t="n">
        <v>83</v>
      </c>
      <c r="C14" s="25" t="inlineStr">
        <is>
          <t>Ricardo Medina Rodríguez</t>
        </is>
      </c>
      <c r="D14" s="9" t="inlineStr">
        <is>
          <t>T1 · ROJO</t>
        </is>
      </c>
      <c r="E14" s="25" t="inlineStr">
        <is>
          <t>Politraumatismo grave</t>
        </is>
      </c>
      <c r="F14" s="24" t="n">
        <v>46</v>
      </c>
      <c r="G14" s="24" t="inlineStr">
        <is>
          <t>Adulto</t>
        </is>
      </c>
      <c r="H14" s="24" t="inlineStr">
        <is>
          <t>15:34:00</t>
        </is>
      </c>
      <c r="I14" s="24" t="n">
        <v>660</v>
      </c>
      <c r="J14" s="24" t="n">
        <v>90</v>
      </c>
      <c r="K14" s="27" t="n">
        <v>750</v>
      </c>
      <c r="L14" s="25" t="inlineStr">
        <is>
          <t>Andrés Martínez</t>
        </is>
      </c>
    </row>
    <row r="15">
      <c r="A15" s="9" t="n">
        <v>12</v>
      </c>
      <c r="B15" s="21" t="n">
        <v>116</v>
      </c>
      <c r="C15" s="22" t="inlineStr">
        <is>
          <t>Ricardo Ramírez Alvarado</t>
        </is>
      </c>
      <c r="D15" s="9" t="inlineStr">
        <is>
          <t>T1 · ROJO</t>
        </is>
      </c>
      <c r="E15" s="22" t="inlineStr">
        <is>
          <t>Paro cardiorrespiratorio</t>
        </is>
      </c>
      <c r="F15" s="21" t="n">
        <v>56</v>
      </c>
      <c r="G15" s="21" t="inlineStr">
        <is>
          <t>Adulto</t>
        </is>
      </c>
      <c r="H15" s="21" t="inlineStr">
        <is>
          <t>16:05:00</t>
        </is>
      </c>
      <c r="I15" s="21" t="n">
        <v>750</v>
      </c>
      <c r="J15" s="21" t="n">
        <v>60</v>
      </c>
      <c r="K15" s="27" t="n">
        <v>810</v>
      </c>
      <c r="L15" s="22" t="inlineStr">
        <is>
          <t>Andrés Martínez</t>
        </is>
      </c>
    </row>
    <row r="16">
      <c r="A16" s="9" t="n">
        <v>13</v>
      </c>
      <c r="B16" s="24" t="n">
        <v>53</v>
      </c>
      <c r="C16" s="25" t="inlineStr">
        <is>
          <t>Daniela Cárdenas Rodríguez</t>
        </is>
      </c>
      <c r="D16" s="9" t="inlineStr">
        <is>
          <t>T1 · ROJO</t>
        </is>
      </c>
      <c r="E16" s="25" t="inlineStr">
        <is>
          <t>Paro cardiorrespiratorio</t>
        </is>
      </c>
      <c r="F16" s="24" t="n">
        <v>36</v>
      </c>
      <c r="G16" s="24" t="inlineStr">
        <is>
          <t>Adulto</t>
        </is>
      </c>
      <c r="H16" s="24" t="inlineStr">
        <is>
          <t>18:16:00</t>
        </is>
      </c>
      <c r="I16" s="24" t="n">
        <v>810</v>
      </c>
      <c r="J16" s="24" t="n">
        <v>60</v>
      </c>
      <c r="K16" s="27" t="n">
        <v>870</v>
      </c>
      <c r="L16" s="25" t="inlineStr">
        <is>
          <t>Sofía Torres</t>
        </is>
      </c>
    </row>
    <row r="17">
      <c r="A17" s="11" t="n">
        <v>14</v>
      </c>
      <c r="B17" s="21" t="n">
        <v>99</v>
      </c>
      <c r="C17" s="22" t="inlineStr">
        <is>
          <t>Mariana Sánchez Ospina</t>
        </is>
      </c>
      <c r="D17" s="11" t="inlineStr">
        <is>
          <t>T2 · NARANJA</t>
        </is>
      </c>
      <c r="E17" s="22" t="inlineStr">
        <is>
          <t>Dificultad respiratoria severa</t>
        </is>
      </c>
      <c r="F17" s="21" t="n">
        <v>79</v>
      </c>
      <c r="G17" s="21" t="inlineStr">
        <is>
          <t>Anciano</t>
        </is>
      </c>
      <c r="H17" s="21" t="inlineStr">
        <is>
          <t>13:06:00</t>
        </is>
      </c>
      <c r="I17" s="21" t="n">
        <v>870</v>
      </c>
      <c r="J17" s="21" t="n">
        <v>45</v>
      </c>
      <c r="K17" s="27" t="n">
        <v>915</v>
      </c>
      <c r="L17" s="22" t="inlineStr">
        <is>
          <t>Carlos Ramírez</t>
        </is>
      </c>
    </row>
    <row r="18">
      <c r="A18" s="11" t="n">
        <v>15</v>
      </c>
      <c r="B18" s="24" t="n">
        <v>118</v>
      </c>
      <c r="C18" s="25" t="inlineStr">
        <is>
          <t>Andrés Ríos Castro</t>
        </is>
      </c>
      <c r="D18" s="11" t="inlineStr">
        <is>
          <t>T2 · NARANJA</t>
        </is>
      </c>
      <c r="E18" s="25" t="inlineStr">
        <is>
          <t>ACV / Derrame cerebral</t>
        </is>
      </c>
      <c r="F18" s="24" t="n">
        <v>1</v>
      </c>
      <c r="G18" s="24" t="inlineStr">
        <is>
          <t>Neonato</t>
        </is>
      </c>
      <c r="H18" s="24" t="inlineStr">
        <is>
          <t>13:27:00</t>
        </is>
      </c>
      <c r="I18" s="24" t="n">
        <v>915</v>
      </c>
      <c r="J18" s="24" t="n">
        <v>50</v>
      </c>
      <c r="K18" s="27" t="n">
        <v>965</v>
      </c>
      <c r="L18" s="25" t="inlineStr">
        <is>
          <t>Laura Gómez</t>
        </is>
      </c>
    </row>
    <row r="19">
      <c r="A19" s="11" t="n">
        <v>16</v>
      </c>
      <c r="B19" s="21" t="n">
        <v>97</v>
      </c>
      <c r="C19" s="22" t="inlineStr">
        <is>
          <t>Jorge Díaz Reyes</t>
        </is>
      </c>
      <c r="D19" s="11" t="inlineStr">
        <is>
          <t>T2 · NARANJA</t>
        </is>
      </c>
      <c r="E19" s="22" t="inlineStr">
        <is>
          <t>ACV / Derrame cerebral</t>
        </is>
      </c>
      <c r="F19" s="21" t="n">
        <v>77</v>
      </c>
      <c r="G19" s="21" t="inlineStr">
        <is>
          <t>Anciano</t>
        </is>
      </c>
      <c r="H19" s="21" t="inlineStr">
        <is>
          <t>16:03:00</t>
        </is>
      </c>
      <c r="I19" s="21" t="n">
        <v>965</v>
      </c>
      <c r="J19" s="21" t="n">
        <v>50</v>
      </c>
      <c r="K19" s="27" t="n">
        <v>1015</v>
      </c>
      <c r="L19" s="22" t="inlineStr">
        <is>
          <t>Andrés Martínez</t>
        </is>
      </c>
    </row>
    <row r="20">
      <c r="A20" s="11" t="n">
        <v>17</v>
      </c>
      <c r="B20" s="24" t="n">
        <v>126</v>
      </c>
      <c r="C20" s="25" t="inlineStr">
        <is>
          <t>Andrés Castro Castro</t>
        </is>
      </c>
      <c r="D20" s="11" t="inlineStr">
        <is>
          <t>T2 · NARANJA</t>
        </is>
      </c>
      <c r="E20" s="25" t="inlineStr">
        <is>
          <t>Dificultad respiratoria severa</t>
        </is>
      </c>
      <c r="F20" s="24" t="n">
        <v>90</v>
      </c>
      <c r="G20" s="24" t="inlineStr">
        <is>
          <t>Anciano</t>
        </is>
      </c>
      <c r="H20" s="24" t="inlineStr">
        <is>
          <t>18:55:00</t>
        </is>
      </c>
      <c r="I20" s="24" t="n">
        <v>1015</v>
      </c>
      <c r="J20" s="24" t="n">
        <v>45</v>
      </c>
      <c r="K20" s="27" t="n">
        <v>1060</v>
      </c>
      <c r="L20" s="25" t="inlineStr">
        <is>
          <t>Felipe Herrera</t>
        </is>
      </c>
    </row>
    <row r="21">
      <c r="A21" s="11" t="n">
        <v>18</v>
      </c>
      <c r="B21" s="21" t="n">
        <v>67</v>
      </c>
      <c r="C21" s="22" t="inlineStr">
        <is>
          <t>Sebastián Rodríguez Ramírez</t>
        </is>
      </c>
      <c r="D21" s="11" t="inlineStr">
        <is>
          <t>T2 · NARANJA</t>
        </is>
      </c>
      <c r="E21" s="22" t="inlineStr">
        <is>
          <t>Dificultad respiratoria severa</t>
        </is>
      </c>
      <c r="F21" s="21" t="n">
        <v>5</v>
      </c>
      <c r="G21" s="21" t="inlineStr">
        <is>
          <t>Infante</t>
        </is>
      </c>
      <c r="H21" s="21" t="inlineStr">
        <is>
          <t>07:22:00</t>
        </is>
      </c>
      <c r="I21" s="21" t="n">
        <v>1060</v>
      </c>
      <c r="J21" s="21" t="n">
        <v>45</v>
      </c>
      <c r="K21" s="27" t="n">
        <v>1105</v>
      </c>
      <c r="L21" s="22" t="inlineStr">
        <is>
          <t>Carlos Ramírez</t>
        </is>
      </c>
    </row>
    <row r="22">
      <c r="A22" s="11" t="n">
        <v>19</v>
      </c>
      <c r="B22" s="24" t="n">
        <v>125</v>
      </c>
      <c r="C22" s="25" t="inlineStr">
        <is>
          <t>Camilo Herrera Alvarado</t>
        </is>
      </c>
      <c r="D22" s="11" t="inlineStr">
        <is>
          <t>T2 · NARANJA</t>
        </is>
      </c>
      <c r="E22" s="25" t="inlineStr">
        <is>
          <t>Dificultad respiratoria severa</t>
        </is>
      </c>
      <c r="F22" s="24" t="n">
        <v>2</v>
      </c>
      <c r="G22" s="24" t="inlineStr">
        <is>
          <t>Infante</t>
        </is>
      </c>
      <c r="H22" s="24" t="inlineStr">
        <is>
          <t>10:20:00</t>
        </is>
      </c>
      <c r="I22" s="24" t="n">
        <v>1105</v>
      </c>
      <c r="J22" s="24" t="n">
        <v>45</v>
      </c>
      <c r="K22" s="27" t="n">
        <v>1150</v>
      </c>
      <c r="L22" s="25" t="inlineStr">
        <is>
          <t>Carlos Ramírez</t>
        </is>
      </c>
    </row>
    <row r="23">
      <c r="A23" s="11" t="n">
        <v>20</v>
      </c>
      <c r="B23" s="21" t="n">
        <v>82</v>
      </c>
      <c r="C23" s="22" t="inlineStr">
        <is>
          <t>Mariana Ramírez Medina</t>
        </is>
      </c>
      <c r="D23" s="11" t="inlineStr">
        <is>
          <t>T2 · NARANJA</t>
        </is>
      </c>
      <c r="E23" s="22" t="inlineStr">
        <is>
          <t>Dificultad respiratoria severa</t>
        </is>
      </c>
      <c r="F23" s="21" t="n">
        <v>4</v>
      </c>
      <c r="G23" s="21" t="inlineStr">
        <is>
          <t>Infante</t>
        </is>
      </c>
      <c r="H23" s="21" t="inlineStr">
        <is>
          <t>13:39:00</t>
        </is>
      </c>
      <c r="I23" s="21" t="n">
        <v>1150</v>
      </c>
      <c r="J23" s="21" t="n">
        <v>45</v>
      </c>
      <c r="K23" s="27" t="n">
        <v>1195</v>
      </c>
      <c r="L23" s="22" t="inlineStr">
        <is>
          <t>Sofía Torres</t>
        </is>
      </c>
    </row>
    <row r="24">
      <c r="A24" s="11" t="n">
        <v>21</v>
      </c>
      <c r="B24" s="24" t="n">
        <v>69</v>
      </c>
      <c r="C24" s="25" t="inlineStr">
        <is>
          <t>Carlos Sánchez Díaz</t>
        </is>
      </c>
      <c r="D24" s="11" t="inlineStr">
        <is>
          <t>T2 · NARANJA</t>
        </is>
      </c>
      <c r="E24" s="25" t="inlineStr">
        <is>
          <t>ACV / Derrame cerebral</t>
        </is>
      </c>
      <c r="F24" s="24" t="n">
        <v>72</v>
      </c>
      <c r="G24" s="24" t="inlineStr">
        <is>
          <t>Adulto mayor</t>
        </is>
      </c>
      <c r="H24" s="24" t="inlineStr">
        <is>
          <t>08:59:00</t>
        </is>
      </c>
      <c r="I24" s="24" t="n">
        <v>1195</v>
      </c>
      <c r="J24" s="24" t="n">
        <v>50</v>
      </c>
      <c r="K24" s="27" t="n">
        <v>1245</v>
      </c>
      <c r="L24" s="25" t="inlineStr">
        <is>
          <t>Laura Gómez</t>
        </is>
      </c>
    </row>
    <row r="25">
      <c r="A25" s="11" t="n">
        <v>22</v>
      </c>
      <c r="B25" s="21" t="n">
        <v>40</v>
      </c>
      <c r="C25" s="22" t="inlineStr">
        <is>
          <t>Luis Moreno Pardo</t>
        </is>
      </c>
      <c r="D25" s="11" t="inlineStr">
        <is>
          <t>T2 · NARANJA</t>
        </is>
      </c>
      <c r="E25" s="22" t="inlineStr">
        <is>
          <t>ACV / Derrame cerebral</t>
        </is>
      </c>
      <c r="F25" s="21" t="n">
        <v>61</v>
      </c>
      <c r="G25" s="21" t="inlineStr">
        <is>
          <t>Adulto mayor</t>
        </is>
      </c>
      <c r="H25" s="21" t="inlineStr">
        <is>
          <t>10:44:00</t>
        </is>
      </c>
      <c r="I25" s="21" t="n">
        <v>1245</v>
      </c>
      <c r="J25" s="21" t="n">
        <v>50</v>
      </c>
      <c r="K25" s="27" t="n">
        <v>1295</v>
      </c>
      <c r="L25" s="22" t="inlineStr">
        <is>
          <t>Felipe Herrera</t>
        </is>
      </c>
    </row>
    <row r="26">
      <c r="A26" s="11" t="n">
        <v>23</v>
      </c>
      <c r="B26" s="24" t="n">
        <v>101</v>
      </c>
      <c r="C26" s="25" t="inlineStr">
        <is>
          <t>Natalia Muñoz Pardo</t>
        </is>
      </c>
      <c r="D26" s="11" t="inlineStr">
        <is>
          <t>T2 · NARANJA</t>
        </is>
      </c>
      <c r="E26" s="25" t="inlineStr">
        <is>
          <t>Dificultad respiratoria severa</t>
        </is>
      </c>
      <c r="F26" s="24" t="n">
        <v>63</v>
      </c>
      <c r="G26" s="24" t="inlineStr">
        <is>
          <t>Adulto mayor</t>
        </is>
      </c>
      <c r="H26" s="24" t="inlineStr">
        <is>
          <t>12:24:00</t>
        </is>
      </c>
      <c r="I26" s="24" t="n">
        <v>1295</v>
      </c>
      <c r="J26" s="24" t="n">
        <v>45</v>
      </c>
      <c r="K26" s="27" t="n">
        <v>1340</v>
      </c>
      <c r="L26" s="25" t="inlineStr">
        <is>
          <t>Laura Gómez</t>
        </is>
      </c>
    </row>
    <row r="27">
      <c r="A27" s="11" t="n">
        <v>24</v>
      </c>
      <c r="B27" s="21" t="n">
        <v>45</v>
      </c>
      <c r="C27" s="22" t="inlineStr">
        <is>
          <t>María Muñoz Cárdenas</t>
        </is>
      </c>
      <c r="D27" s="11" t="inlineStr">
        <is>
          <t>T2 · NARANJA</t>
        </is>
      </c>
      <c r="E27" s="22" t="inlineStr">
        <is>
          <t>Dificultad respiratoria severa</t>
        </is>
      </c>
      <c r="F27" s="21" t="n">
        <v>61</v>
      </c>
      <c r="G27" s="21" t="inlineStr">
        <is>
          <t>Adulto mayor</t>
        </is>
      </c>
      <c r="H27" s="21" t="inlineStr">
        <is>
          <t>12:36:00</t>
        </is>
      </c>
      <c r="I27" s="21" t="n">
        <v>1340</v>
      </c>
      <c r="J27" s="21" t="n">
        <v>45</v>
      </c>
      <c r="K27" s="27" t="n">
        <v>1385</v>
      </c>
      <c r="L27" s="22" t="inlineStr">
        <is>
          <t>Andrés Martínez</t>
        </is>
      </c>
    </row>
    <row r="28">
      <c r="A28" s="11" t="n">
        <v>25</v>
      </c>
      <c r="B28" s="24" t="n">
        <v>22</v>
      </c>
      <c r="C28" s="25" t="inlineStr">
        <is>
          <t>Santiago Muñoz Ramírez</t>
        </is>
      </c>
      <c r="D28" s="11" t="inlineStr">
        <is>
          <t>T2 · NARANJA</t>
        </is>
      </c>
      <c r="E28" s="25" t="inlineStr">
        <is>
          <t>ACV / Derrame cerebral</t>
        </is>
      </c>
      <c r="F28" s="24" t="n">
        <v>72</v>
      </c>
      <c r="G28" s="24" t="inlineStr">
        <is>
          <t>Adulto mayor</t>
        </is>
      </c>
      <c r="H28" s="24" t="inlineStr">
        <is>
          <t>12:58:00</t>
        </is>
      </c>
      <c r="I28" s="24" t="n">
        <v>1385</v>
      </c>
      <c r="J28" s="24" t="n">
        <v>50</v>
      </c>
      <c r="K28" s="27" t="n">
        <v>1435</v>
      </c>
      <c r="L28" s="25" t="inlineStr">
        <is>
          <t>Laura Gómez</t>
        </is>
      </c>
    </row>
    <row r="29">
      <c r="A29" s="11" t="n">
        <v>26</v>
      </c>
      <c r="B29" s="21" t="n">
        <v>137</v>
      </c>
      <c r="C29" s="22" t="inlineStr">
        <is>
          <t>David Torres Martínez</t>
        </is>
      </c>
      <c r="D29" s="11" t="inlineStr">
        <is>
          <t>T2 · NARANJA</t>
        </is>
      </c>
      <c r="E29" s="22" t="inlineStr">
        <is>
          <t>Dificultad respiratoria severa</t>
        </is>
      </c>
      <c r="F29" s="21" t="n">
        <v>74</v>
      </c>
      <c r="G29" s="21" t="inlineStr">
        <is>
          <t>Adulto mayor</t>
        </is>
      </c>
      <c r="H29" s="21" t="inlineStr">
        <is>
          <t>19:21:00</t>
        </is>
      </c>
      <c r="I29" s="21" t="n">
        <v>1435</v>
      </c>
      <c r="J29" s="21" t="n">
        <v>45</v>
      </c>
      <c r="K29" s="27" t="n">
        <v>1480</v>
      </c>
      <c r="L29" s="22" t="inlineStr">
        <is>
          <t>Andrés Martínez</t>
        </is>
      </c>
    </row>
    <row r="30">
      <c r="A30" s="11" t="n">
        <v>27</v>
      </c>
      <c r="B30" s="24" t="n">
        <v>70</v>
      </c>
      <c r="C30" s="25" t="inlineStr">
        <is>
          <t>Jorge Herrera Ríos</t>
        </is>
      </c>
      <c r="D30" s="11" t="inlineStr">
        <is>
          <t>T2 · NARANJA</t>
        </is>
      </c>
      <c r="E30" s="25" t="inlineStr">
        <is>
          <t>Dificultad respiratoria severa</t>
        </is>
      </c>
      <c r="F30" s="24" t="n">
        <v>49</v>
      </c>
      <c r="G30" s="24" t="inlineStr">
        <is>
          <t>Adulto</t>
        </is>
      </c>
      <c r="H30" s="24" t="inlineStr">
        <is>
          <t>08:07:00</t>
        </is>
      </c>
      <c r="I30" s="24" t="n">
        <v>1480</v>
      </c>
      <c r="J30" s="24" t="n">
        <v>45</v>
      </c>
      <c r="K30" s="27" t="n">
        <v>1525</v>
      </c>
      <c r="L30" s="25" t="inlineStr">
        <is>
          <t>Felipe Herrera</t>
        </is>
      </c>
    </row>
    <row r="31">
      <c r="A31" s="11" t="n">
        <v>28</v>
      </c>
      <c r="B31" s="21" t="n">
        <v>59</v>
      </c>
      <c r="C31" s="22" t="inlineStr">
        <is>
          <t>Claudia Jiménez Jiménez</t>
        </is>
      </c>
      <c r="D31" s="11" t="inlineStr">
        <is>
          <t>T2 · NARANJA</t>
        </is>
      </c>
      <c r="E31" s="22" t="inlineStr">
        <is>
          <t>Dificultad respiratoria severa</t>
        </is>
      </c>
      <c r="F31" s="21" t="n">
        <v>28</v>
      </c>
      <c r="G31" s="21" t="inlineStr">
        <is>
          <t>Adulto</t>
        </is>
      </c>
      <c r="H31" s="21" t="inlineStr">
        <is>
          <t>08:55:00</t>
        </is>
      </c>
      <c r="I31" s="21" t="n">
        <v>1525</v>
      </c>
      <c r="J31" s="21" t="n">
        <v>45</v>
      </c>
      <c r="K31" s="27" t="n">
        <v>1570</v>
      </c>
      <c r="L31" s="22" t="inlineStr">
        <is>
          <t>Laura Gómez</t>
        </is>
      </c>
    </row>
    <row r="32">
      <c r="A32" s="11" t="n">
        <v>29</v>
      </c>
      <c r="B32" s="24" t="n">
        <v>113</v>
      </c>
      <c r="C32" s="25" t="inlineStr">
        <is>
          <t>Paula Reyes Muñoz</t>
        </is>
      </c>
      <c r="D32" s="11" t="inlineStr">
        <is>
          <t>T2 · NARANJA</t>
        </is>
      </c>
      <c r="E32" s="25" t="inlineStr">
        <is>
          <t>Dificultad respiratoria severa</t>
        </is>
      </c>
      <c r="F32" s="24" t="n">
        <v>28</v>
      </c>
      <c r="G32" s="24" t="inlineStr">
        <is>
          <t>Adulto</t>
        </is>
      </c>
      <c r="H32" s="24" t="inlineStr">
        <is>
          <t>12:01:00</t>
        </is>
      </c>
      <c r="I32" s="24" t="n">
        <v>1570</v>
      </c>
      <c r="J32" s="24" t="n">
        <v>45</v>
      </c>
      <c r="K32" s="27" t="n">
        <v>1615</v>
      </c>
      <c r="L32" s="25" t="inlineStr">
        <is>
          <t>Laura Gómez</t>
        </is>
      </c>
    </row>
    <row r="33">
      <c r="A33" s="11" t="n">
        <v>30</v>
      </c>
      <c r="B33" s="21" t="n">
        <v>15</v>
      </c>
      <c r="C33" s="22" t="inlineStr">
        <is>
          <t>Isabella Ríos Martínez</t>
        </is>
      </c>
      <c r="D33" s="11" t="inlineStr">
        <is>
          <t>T2 · NARANJA</t>
        </is>
      </c>
      <c r="E33" s="22" t="inlineStr">
        <is>
          <t>ACV / Derrame cerebral</t>
        </is>
      </c>
      <c r="F33" s="21" t="n">
        <v>28</v>
      </c>
      <c r="G33" s="21" t="inlineStr">
        <is>
          <t>Adulto</t>
        </is>
      </c>
      <c r="H33" s="21" t="inlineStr">
        <is>
          <t>12:03:00</t>
        </is>
      </c>
      <c r="I33" s="21" t="n">
        <v>1615</v>
      </c>
      <c r="J33" s="21" t="n">
        <v>50</v>
      </c>
      <c r="K33" s="27" t="n">
        <v>1665</v>
      </c>
      <c r="L33" s="22" t="inlineStr">
        <is>
          <t>Andrés Martínez</t>
        </is>
      </c>
    </row>
    <row r="34">
      <c r="A34" s="11" t="n">
        <v>31</v>
      </c>
      <c r="B34" s="24" t="n">
        <v>81</v>
      </c>
      <c r="C34" s="25" t="inlineStr">
        <is>
          <t>Mariana Pardo Jiménez</t>
        </is>
      </c>
      <c r="D34" s="11" t="inlineStr">
        <is>
          <t>T2 · NARANJA</t>
        </is>
      </c>
      <c r="E34" s="25" t="inlineStr">
        <is>
          <t>Dificultad respiratoria severa</t>
        </is>
      </c>
      <c r="F34" s="24" t="n">
        <v>40</v>
      </c>
      <c r="G34" s="24" t="inlineStr">
        <is>
          <t>Adulto</t>
        </is>
      </c>
      <c r="H34" s="24" t="inlineStr">
        <is>
          <t>12:11:00</t>
        </is>
      </c>
      <c r="I34" s="24" t="n">
        <v>1665</v>
      </c>
      <c r="J34" s="24" t="n">
        <v>45</v>
      </c>
      <c r="K34" s="27" t="n">
        <v>1710</v>
      </c>
      <c r="L34" s="25" t="inlineStr">
        <is>
          <t>Sofía Torres</t>
        </is>
      </c>
    </row>
    <row r="35">
      <c r="A35" s="11" t="n">
        <v>32</v>
      </c>
      <c r="B35" s="21" t="n">
        <v>51</v>
      </c>
      <c r="C35" s="22" t="inlineStr">
        <is>
          <t>Felipe Sánchez Vargas</t>
        </is>
      </c>
      <c r="D35" s="11" t="inlineStr">
        <is>
          <t>T2 · NARANJA</t>
        </is>
      </c>
      <c r="E35" s="22" t="inlineStr">
        <is>
          <t>ACV / Derrame cerebral</t>
        </is>
      </c>
      <c r="F35" s="21" t="n">
        <v>29</v>
      </c>
      <c r="G35" s="21" t="inlineStr">
        <is>
          <t>Adulto</t>
        </is>
      </c>
      <c r="H35" s="21" t="inlineStr">
        <is>
          <t>13:42:00</t>
        </is>
      </c>
      <c r="I35" s="21" t="n">
        <v>1710</v>
      </c>
      <c r="J35" s="21" t="n">
        <v>50</v>
      </c>
      <c r="K35" s="27" t="n">
        <v>1760</v>
      </c>
      <c r="L35" s="22" t="inlineStr">
        <is>
          <t>Laura Gómez</t>
        </is>
      </c>
    </row>
    <row r="36">
      <c r="A36" s="11" t="n">
        <v>33</v>
      </c>
      <c r="B36" s="24" t="n">
        <v>39</v>
      </c>
      <c r="C36" s="25" t="inlineStr">
        <is>
          <t>Felipe Bernal Pardo</t>
        </is>
      </c>
      <c r="D36" s="11" t="inlineStr">
        <is>
          <t>T2 · NARANJA</t>
        </is>
      </c>
      <c r="E36" s="25" t="inlineStr">
        <is>
          <t>Dificultad respiratoria severa</t>
        </is>
      </c>
      <c r="F36" s="24" t="n">
        <v>20</v>
      </c>
      <c r="G36" s="24" t="inlineStr">
        <is>
          <t>Adulto</t>
        </is>
      </c>
      <c r="H36" s="24" t="inlineStr">
        <is>
          <t>14:44:00</t>
        </is>
      </c>
      <c r="I36" s="24" t="n">
        <v>1760</v>
      </c>
      <c r="J36" s="24" t="n">
        <v>45</v>
      </c>
      <c r="K36" s="27" t="n">
        <v>1805</v>
      </c>
      <c r="L36" s="25" t="inlineStr">
        <is>
          <t>Carlos Ramírez</t>
        </is>
      </c>
    </row>
    <row r="37">
      <c r="A37" s="11" t="n">
        <v>34</v>
      </c>
      <c r="B37" s="21" t="n">
        <v>12</v>
      </c>
      <c r="C37" s="22" t="inlineStr">
        <is>
          <t>Carlos Sánchez Ospina</t>
        </is>
      </c>
      <c r="D37" s="11" t="inlineStr">
        <is>
          <t>T2 · NARANJA</t>
        </is>
      </c>
      <c r="E37" s="22" t="inlineStr">
        <is>
          <t>ACV / Derrame cerebral</t>
        </is>
      </c>
      <c r="F37" s="21" t="n">
        <v>58</v>
      </c>
      <c r="G37" s="21" t="inlineStr">
        <is>
          <t>Adulto</t>
        </is>
      </c>
      <c r="H37" s="21" t="inlineStr">
        <is>
          <t>15:52:00</t>
        </is>
      </c>
      <c r="I37" s="21" t="n">
        <v>1805</v>
      </c>
      <c r="J37" s="21" t="n">
        <v>50</v>
      </c>
      <c r="K37" s="27" t="n">
        <v>1855</v>
      </c>
      <c r="L37" s="22" t="inlineStr">
        <is>
          <t>Felipe Herrera</t>
        </is>
      </c>
    </row>
    <row r="38">
      <c r="A38" s="11" t="n">
        <v>35</v>
      </c>
      <c r="B38" s="24" t="n">
        <v>2</v>
      </c>
      <c r="C38" s="25" t="inlineStr">
        <is>
          <t>Ricardo Jiménez Morales</t>
        </is>
      </c>
      <c r="D38" s="11" t="inlineStr">
        <is>
          <t>T2 · NARANJA</t>
        </is>
      </c>
      <c r="E38" s="25" t="inlineStr">
        <is>
          <t>Dificultad respiratoria severa</t>
        </is>
      </c>
      <c r="F38" s="24" t="n">
        <v>18</v>
      </c>
      <c r="G38" s="24" t="inlineStr">
        <is>
          <t>Adulto</t>
        </is>
      </c>
      <c r="H38" s="24" t="inlineStr">
        <is>
          <t>17:25:00</t>
        </is>
      </c>
      <c r="I38" s="24" t="n">
        <v>1855</v>
      </c>
      <c r="J38" s="24" t="n">
        <v>45</v>
      </c>
      <c r="K38" s="27" t="n">
        <v>1900</v>
      </c>
      <c r="L38" s="25" t="inlineStr">
        <is>
          <t>Andrés Martínez</t>
        </is>
      </c>
    </row>
    <row r="39">
      <c r="A39" s="11" t="n">
        <v>36</v>
      </c>
      <c r="B39" s="21" t="n">
        <v>64</v>
      </c>
      <c r="C39" s="22" t="inlineStr">
        <is>
          <t>Daniela García Herrera</t>
        </is>
      </c>
      <c r="D39" s="11" t="inlineStr">
        <is>
          <t>T2 · NARANJA</t>
        </is>
      </c>
      <c r="E39" s="22" t="inlineStr">
        <is>
          <t>ACV / Derrame cerebral</t>
        </is>
      </c>
      <c r="F39" s="21" t="n">
        <v>14</v>
      </c>
      <c r="G39" s="21" t="inlineStr">
        <is>
          <t>Menor de edad</t>
        </is>
      </c>
      <c r="H39" s="21" t="inlineStr">
        <is>
          <t>17:28:00</t>
        </is>
      </c>
      <c r="I39" s="21" t="n">
        <v>1900</v>
      </c>
      <c r="J39" s="21" t="n">
        <v>50</v>
      </c>
      <c r="K39" s="27" t="n">
        <v>1950</v>
      </c>
      <c r="L39" s="22" t="inlineStr">
        <is>
          <t>Laura Gómez</t>
        </is>
      </c>
    </row>
    <row r="40">
      <c r="A40" s="11" t="n">
        <v>37</v>
      </c>
      <c r="B40" s="24" t="n">
        <v>23</v>
      </c>
      <c r="C40" s="25" t="inlineStr">
        <is>
          <t>Laura Reyes Ramírez</t>
        </is>
      </c>
      <c r="D40" s="11" t="inlineStr">
        <is>
          <t>T2 · NARANJA</t>
        </is>
      </c>
      <c r="E40" s="25" t="inlineStr">
        <is>
          <t>ACV / Derrame cerebral</t>
        </is>
      </c>
      <c r="F40" s="24" t="n">
        <v>13</v>
      </c>
      <c r="G40" s="24" t="inlineStr">
        <is>
          <t>Menor de edad</t>
        </is>
      </c>
      <c r="H40" s="24" t="inlineStr">
        <is>
          <t>20:41:00</t>
        </is>
      </c>
      <c r="I40" s="24" t="n">
        <v>1950</v>
      </c>
      <c r="J40" s="24" t="n">
        <v>50</v>
      </c>
      <c r="K40" s="27" t="n">
        <v>2000</v>
      </c>
      <c r="L40" s="25" t="inlineStr">
        <is>
          <t>Felipe Herrera</t>
        </is>
      </c>
    </row>
    <row r="41">
      <c r="A41" s="7" t="n">
        <v>38</v>
      </c>
      <c r="B41" s="21" t="n">
        <v>90</v>
      </c>
      <c r="C41" s="22" t="inlineStr">
        <is>
          <t>Juliana Gómez Castro</t>
        </is>
      </c>
      <c r="D41" s="7" t="inlineStr">
        <is>
          <t>T3 · AMARILLO</t>
        </is>
      </c>
      <c r="E41" s="22" t="inlineStr">
        <is>
          <t>Fractura con compromiso vascular</t>
        </is>
      </c>
      <c r="F41" s="21" t="n">
        <v>82</v>
      </c>
      <c r="G41" s="21" t="inlineStr">
        <is>
          <t>Anciano</t>
        </is>
      </c>
      <c r="H41" s="21" t="inlineStr">
        <is>
          <t>07:19:00</t>
        </is>
      </c>
      <c r="I41" s="21" t="n">
        <v>2000</v>
      </c>
      <c r="J41" s="21" t="n">
        <v>35</v>
      </c>
      <c r="K41" s="27" t="n">
        <v>2035</v>
      </c>
      <c r="L41" s="22" t="inlineStr">
        <is>
          <t>Carlos Ramírez</t>
        </is>
      </c>
    </row>
    <row r="42">
      <c r="A42" s="7" t="n">
        <v>39</v>
      </c>
      <c r="B42" s="24" t="n">
        <v>13</v>
      </c>
      <c r="C42" s="25" t="inlineStr">
        <is>
          <t>Ricardo Ospina Martínez</t>
        </is>
      </c>
      <c r="D42" s="7" t="inlineStr">
        <is>
          <t>T3 · AMARILLO</t>
        </is>
      </c>
      <c r="E42" s="25" t="inlineStr">
        <is>
          <t>Dolor abdominal agudo</t>
        </is>
      </c>
      <c r="F42" s="24" t="n">
        <v>1</v>
      </c>
      <c r="G42" s="24" t="inlineStr">
        <is>
          <t>Neonato</t>
        </is>
      </c>
      <c r="H42" s="24" t="inlineStr">
        <is>
          <t>08:16:00</t>
        </is>
      </c>
      <c r="I42" s="24" t="n">
        <v>2035</v>
      </c>
      <c r="J42" s="24" t="n">
        <v>30</v>
      </c>
      <c r="K42" s="27" t="n">
        <v>2065</v>
      </c>
      <c r="L42" s="25" t="inlineStr">
        <is>
          <t>Carlos Ramírez</t>
        </is>
      </c>
    </row>
    <row r="43">
      <c r="A43" s="7" t="n">
        <v>40</v>
      </c>
      <c r="B43" s="21" t="n">
        <v>21</v>
      </c>
      <c r="C43" s="22" t="inlineStr">
        <is>
          <t>Sofía García Rodríguez</t>
        </is>
      </c>
      <c r="D43" s="7" t="inlineStr">
        <is>
          <t>T3 · AMARILLO</t>
        </is>
      </c>
      <c r="E43" s="22" t="inlineStr">
        <is>
          <t>Dolor abdominal agudo</t>
        </is>
      </c>
      <c r="F43" s="21" t="n">
        <v>1</v>
      </c>
      <c r="G43" s="21" t="inlineStr">
        <is>
          <t>Neonato</t>
        </is>
      </c>
      <c r="H43" s="21" t="inlineStr">
        <is>
          <t>09:54:00</t>
        </is>
      </c>
      <c r="I43" s="21" t="n">
        <v>2065</v>
      </c>
      <c r="J43" s="21" t="n">
        <v>30</v>
      </c>
      <c r="K43" s="27" t="n">
        <v>2095</v>
      </c>
      <c r="L43" s="22" t="inlineStr">
        <is>
          <t>Andrés Martínez</t>
        </is>
      </c>
    </row>
    <row r="44">
      <c r="A44" s="7" t="n">
        <v>41</v>
      </c>
      <c r="B44" s="24" t="n">
        <v>7</v>
      </c>
      <c r="C44" s="25" t="inlineStr">
        <is>
          <t>Juan Ospina Ramírez</t>
        </is>
      </c>
      <c r="D44" s="7" t="inlineStr">
        <is>
          <t>T3 · AMARILLO</t>
        </is>
      </c>
      <c r="E44" s="25" t="inlineStr">
        <is>
          <t>Dolor abdominal agudo</t>
        </is>
      </c>
      <c r="F44" s="24" t="n">
        <v>78</v>
      </c>
      <c r="G44" s="24" t="inlineStr">
        <is>
          <t>Anciano</t>
        </is>
      </c>
      <c r="H44" s="24" t="inlineStr">
        <is>
          <t>10:48:00</t>
        </is>
      </c>
      <c r="I44" s="24" t="n">
        <v>2095</v>
      </c>
      <c r="J44" s="24" t="n">
        <v>30</v>
      </c>
      <c r="K44" s="27" t="n">
        <v>2125</v>
      </c>
      <c r="L44" s="25" t="inlineStr">
        <is>
          <t>Sofía Torres</t>
        </is>
      </c>
    </row>
    <row r="45">
      <c r="A45" s="7" t="n">
        <v>42</v>
      </c>
      <c r="B45" s="21" t="n">
        <v>9</v>
      </c>
      <c r="C45" s="22" t="inlineStr">
        <is>
          <t>Ana Martínez López</t>
        </is>
      </c>
      <c r="D45" s="7" t="inlineStr">
        <is>
          <t>T3 · AMARILLO</t>
        </is>
      </c>
      <c r="E45" s="22" t="inlineStr">
        <is>
          <t>Dolor abdominal agudo</t>
        </is>
      </c>
      <c r="F45" s="21" t="n">
        <v>88</v>
      </c>
      <c r="G45" s="21" t="inlineStr">
        <is>
          <t>Anciano</t>
        </is>
      </c>
      <c r="H45" s="21" t="inlineStr">
        <is>
          <t>11:04:00</t>
        </is>
      </c>
      <c r="I45" s="21" t="n">
        <v>2125</v>
      </c>
      <c r="J45" s="21" t="n">
        <v>30</v>
      </c>
      <c r="K45" s="27" t="n">
        <v>2155</v>
      </c>
      <c r="L45" s="22" t="inlineStr">
        <is>
          <t>Sofía Torres</t>
        </is>
      </c>
    </row>
    <row r="46">
      <c r="A46" s="7" t="n">
        <v>43</v>
      </c>
      <c r="B46" s="24" t="n">
        <v>146</v>
      </c>
      <c r="C46" s="25" t="inlineStr">
        <is>
          <t>Fernanda García Cárdenas</t>
        </is>
      </c>
      <c r="D46" s="7" t="inlineStr">
        <is>
          <t>T3 · AMARILLO</t>
        </is>
      </c>
      <c r="E46" s="25" t="inlineStr">
        <is>
          <t>Dolor abdominal agudo</t>
        </is>
      </c>
      <c r="F46" s="24" t="n">
        <v>78</v>
      </c>
      <c r="G46" s="24" t="inlineStr">
        <is>
          <t>Anciano</t>
        </is>
      </c>
      <c r="H46" s="24" t="inlineStr">
        <is>
          <t>11:10:00</t>
        </is>
      </c>
      <c r="I46" s="24" t="n">
        <v>2155</v>
      </c>
      <c r="J46" s="24" t="n">
        <v>30</v>
      </c>
      <c r="K46" s="27" t="n">
        <v>2185</v>
      </c>
      <c r="L46" s="25" t="inlineStr">
        <is>
          <t>Andrés Martínez</t>
        </is>
      </c>
    </row>
    <row r="47">
      <c r="A47" s="7" t="n">
        <v>44</v>
      </c>
      <c r="B47" s="21" t="n">
        <v>141</v>
      </c>
      <c r="C47" s="22" t="inlineStr">
        <is>
          <t>Natalia Torres Morales</t>
        </is>
      </c>
      <c r="D47" s="7" t="inlineStr">
        <is>
          <t>T3 · AMARILLO</t>
        </is>
      </c>
      <c r="E47" s="22" t="inlineStr">
        <is>
          <t>Fractura con compromiso vascular</t>
        </is>
      </c>
      <c r="F47" s="21" t="n">
        <v>84</v>
      </c>
      <c r="G47" s="21" t="inlineStr">
        <is>
          <t>Anciano</t>
        </is>
      </c>
      <c r="H47" s="21" t="inlineStr">
        <is>
          <t>12:41:00</t>
        </is>
      </c>
      <c r="I47" s="21" t="n">
        <v>2185</v>
      </c>
      <c r="J47" s="21" t="n">
        <v>35</v>
      </c>
      <c r="K47" s="27" t="n">
        <v>2220</v>
      </c>
      <c r="L47" s="22" t="inlineStr">
        <is>
          <t>Sofía Torres</t>
        </is>
      </c>
    </row>
    <row r="48">
      <c r="A48" s="7" t="n">
        <v>45</v>
      </c>
      <c r="B48" s="24" t="n">
        <v>33</v>
      </c>
      <c r="C48" s="25" t="inlineStr">
        <is>
          <t>Ana Medina Martínez</t>
        </is>
      </c>
      <c r="D48" s="7" t="inlineStr">
        <is>
          <t>T3 · AMARILLO</t>
        </is>
      </c>
      <c r="E48" s="25" t="inlineStr">
        <is>
          <t>Fractura con compromiso vascular</t>
        </is>
      </c>
      <c r="F48" s="24" t="n">
        <v>85</v>
      </c>
      <c r="G48" s="24" t="inlineStr">
        <is>
          <t>Anciano</t>
        </is>
      </c>
      <c r="H48" s="24" t="inlineStr">
        <is>
          <t>14:05:00</t>
        </is>
      </c>
      <c r="I48" s="24" t="n">
        <v>2220</v>
      </c>
      <c r="J48" s="24" t="n">
        <v>35</v>
      </c>
      <c r="K48" s="27" t="n">
        <v>2255</v>
      </c>
      <c r="L48" s="25" t="inlineStr">
        <is>
          <t>Carlos Ramírez</t>
        </is>
      </c>
    </row>
    <row r="49">
      <c r="A49" s="7" t="n">
        <v>46</v>
      </c>
      <c r="B49" s="21" t="n">
        <v>98</v>
      </c>
      <c r="C49" s="22" t="inlineStr">
        <is>
          <t>Ana Pardo Jiménez</t>
        </is>
      </c>
      <c r="D49" s="7" t="inlineStr">
        <is>
          <t>T3 · AMARILLO</t>
        </is>
      </c>
      <c r="E49" s="22" t="inlineStr">
        <is>
          <t>Dolor abdominal agudo</t>
        </is>
      </c>
      <c r="F49" s="21" t="n">
        <v>79</v>
      </c>
      <c r="G49" s="21" t="inlineStr">
        <is>
          <t>Anciano</t>
        </is>
      </c>
      <c r="H49" s="21" t="inlineStr">
        <is>
          <t>17:35:00</t>
        </is>
      </c>
      <c r="I49" s="21" t="n">
        <v>2255</v>
      </c>
      <c r="J49" s="21" t="n">
        <v>30</v>
      </c>
      <c r="K49" s="27" t="n">
        <v>2285</v>
      </c>
      <c r="L49" s="22" t="inlineStr">
        <is>
          <t>Felipe Herrera</t>
        </is>
      </c>
    </row>
    <row r="50">
      <c r="A50" s="7" t="n">
        <v>47</v>
      </c>
      <c r="B50" s="24" t="n">
        <v>88</v>
      </c>
      <c r="C50" s="25" t="inlineStr">
        <is>
          <t>Sofía Sánchez García</t>
        </is>
      </c>
      <c r="D50" s="7" t="inlineStr">
        <is>
          <t>T3 · AMARILLO</t>
        </is>
      </c>
      <c r="E50" s="25" t="inlineStr">
        <is>
          <t>Fractura con compromiso vascular</t>
        </is>
      </c>
      <c r="F50" s="24" t="n">
        <v>85</v>
      </c>
      <c r="G50" s="24" t="inlineStr">
        <is>
          <t>Anciano</t>
        </is>
      </c>
      <c r="H50" s="24" t="inlineStr">
        <is>
          <t>17:52:00</t>
        </is>
      </c>
      <c r="I50" s="24" t="n">
        <v>2285</v>
      </c>
      <c r="J50" s="24" t="n">
        <v>35</v>
      </c>
      <c r="K50" s="27" t="n">
        <v>2320</v>
      </c>
      <c r="L50" s="25" t="inlineStr">
        <is>
          <t>Carlos Ramírez</t>
        </is>
      </c>
    </row>
    <row r="51">
      <c r="A51" s="7" t="n">
        <v>48</v>
      </c>
      <c r="B51" s="21" t="n">
        <v>129</v>
      </c>
      <c r="C51" s="22" t="inlineStr">
        <is>
          <t>Felipe Alvarado Moreno</t>
        </is>
      </c>
      <c r="D51" s="7" t="inlineStr">
        <is>
          <t>T3 · AMARILLO</t>
        </is>
      </c>
      <c r="E51" s="22" t="inlineStr">
        <is>
          <t>Fractura con compromiso vascular</t>
        </is>
      </c>
      <c r="F51" s="21" t="n">
        <v>88</v>
      </c>
      <c r="G51" s="21" t="inlineStr">
        <is>
          <t>Anciano</t>
        </is>
      </c>
      <c r="H51" s="21" t="inlineStr">
        <is>
          <t>20:00:00</t>
        </is>
      </c>
      <c r="I51" s="21" t="n">
        <v>2320</v>
      </c>
      <c r="J51" s="21" t="n">
        <v>35</v>
      </c>
      <c r="K51" s="27" t="n">
        <v>2355</v>
      </c>
      <c r="L51" s="22" t="inlineStr">
        <is>
          <t>Carlos Ramírez</t>
        </is>
      </c>
    </row>
    <row r="52">
      <c r="A52" s="7" t="n">
        <v>49</v>
      </c>
      <c r="B52" s="24" t="n">
        <v>26</v>
      </c>
      <c r="C52" s="25" t="inlineStr">
        <is>
          <t>Alejandro Alvarado Rodríguez</t>
        </is>
      </c>
      <c r="D52" s="7" t="inlineStr">
        <is>
          <t>T3 · AMARILLO</t>
        </is>
      </c>
      <c r="E52" s="25" t="inlineStr">
        <is>
          <t>Dolor abdominal agudo</t>
        </is>
      </c>
      <c r="F52" s="24" t="n">
        <v>60</v>
      </c>
      <c r="G52" s="24" t="inlineStr">
        <is>
          <t>Adulto mayor</t>
        </is>
      </c>
      <c r="H52" s="24" t="inlineStr">
        <is>
          <t>08:04:00</t>
        </is>
      </c>
      <c r="I52" s="24" t="n">
        <v>2355</v>
      </c>
      <c r="J52" s="24" t="n">
        <v>30</v>
      </c>
      <c r="K52" s="27" t="n">
        <v>2385</v>
      </c>
      <c r="L52" s="25" t="inlineStr">
        <is>
          <t>Laura Gómez</t>
        </is>
      </c>
    </row>
    <row r="53">
      <c r="A53" s="7" t="n">
        <v>50</v>
      </c>
      <c r="B53" s="21" t="n">
        <v>55</v>
      </c>
      <c r="C53" s="22" t="inlineStr">
        <is>
          <t>Daniela Pardo Bernal</t>
        </is>
      </c>
      <c r="D53" s="7" t="inlineStr">
        <is>
          <t>T3 · AMARILLO</t>
        </is>
      </c>
      <c r="E53" s="22" t="inlineStr">
        <is>
          <t>Fractura con compromiso vascular</t>
        </is>
      </c>
      <c r="F53" s="21" t="n">
        <v>65</v>
      </c>
      <c r="G53" s="21" t="inlineStr">
        <is>
          <t>Adulto mayor</t>
        </is>
      </c>
      <c r="H53" s="21" t="inlineStr">
        <is>
          <t>09:25:00</t>
        </is>
      </c>
      <c r="I53" s="21" t="n">
        <v>2385</v>
      </c>
      <c r="J53" s="21" t="n">
        <v>35</v>
      </c>
      <c r="K53" s="27" t="n">
        <v>2420</v>
      </c>
      <c r="L53" s="22" t="inlineStr">
        <is>
          <t>Sofía Torres</t>
        </is>
      </c>
    </row>
    <row r="54">
      <c r="A54" s="7" t="n">
        <v>51</v>
      </c>
      <c r="B54" s="24" t="n">
        <v>114</v>
      </c>
      <c r="C54" s="25" t="inlineStr">
        <is>
          <t>Juan Sánchez Ospina</t>
        </is>
      </c>
      <c r="D54" s="7" t="inlineStr">
        <is>
          <t>T3 · AMARILLO</t>
        </is>
      </c>
      <c r="E54" s="25" t="inlineStr">
        <is>
          <t>Dolor abdominal agudo</t>
        </is>
      </c>
      <c r="F54" s="24" t="n">
        <v>70</v>
      </c>
      <c r="G54" s="24" t="inlineStr">
        <is>
          <t>Adulto mayor</t>
        </is>
      </c>
      <c r="H54" s="24" t="inlineStr">
        <is>
          <t>09:47:00</t>
        </is>
      </c>
      <c r="I54" s="24" t="n">
        <v>2420</v>
      </c>
      <c r="J54" s="24" t="n">
        <v>30</v>
      </c>
      <c r="K54" s="27" t="n">
        <v>2450</v>
      </c>
      <c r="L54" s="25" t="inlineStr">
        <is>
          <t>Andrés Martínez</t>
        </is>
      </c>
    </row>
    <row r="55">
      <c r="A55" s="7" t="n">
        <v>52</v>
      </c>
      <c r="B55" s="21" t="n">
        <v>24</v>
      </c>
      <c r="C55" s="22" t="inlineStr">
        <is>
          <t>Fernanda López Martínez</t>
        </is>
      </c>
      <c r="D55" s="7" t="inlineStr">
        <is>
          <t>T3 · AMARILLO</t>
        </is>
      </c>
      <c r="E55" s="22" t="inlineStr">
        <is>
          <t>Fractura con compromiso vascular</t>
        </is>
      </c>
      <c r="F55" s="21" t="n">
        <v>63</v>
      </c>
      <c r="G55" s="21" t="inlineStr">
        <is>
          <t>Adulto mayor</t>
        </is>
      </c>
      <c r="H55" s="21" t="inlineStr">
        <is>
          <t>10:16:00</t>
        </is>
      </c>
      <c r="I55" s="21" t="n">
        <v>2450</v>
      </c>
      <c r="J55" s="21" t="n">
        <v>35</v>
      </c>
      <c r="K55" s="27" t="n">
        <v>2485</v>
      </c>
      <c r="L55" s="22" t="inlineStr">
        <is>
          <t>Felipe Herrera</t>
        </is>
      </c>
    </row>
    <row r="56">
      <c r="A56" s="7" t="n">
        <v>53</v>
      </c>
      <c r="B56" s="24" t="n">
        <v>50</v>
      </c>
      <c r="C56" s="25" t="inlineStr">
        <is>
          <t>Mariana Martínez Morales</t>
        </is>
      </c>
      <c r="D56" s="7" t="inlineStr">
        <is>
          <t>T3 · AMARILLO</t>
        </is>
      </c>
      <c r="E56" s="25" t="inlineStr">
        <is>
          <t>Fractura con compromiso vascular</t>
        </is>
      </c>
      <c r="F56" s="24" t="n">
        <v>71</v>
      </c>
      <c r="G56" s="24" t="inlineStr">
        <is>
          <t>Adulto mayor</t>
        </is>
      </c>
      <c r="H56" s="24" t="inlineStr">
        <is>
          <t>11:17:00</t>
        </is>
      </c>
      <c r="I56" s="24" t="n">
        <v>2485</v>
      </c>
      <c r="J56" s="24" t="n">
        <v>35</v>
      </c>
      <c r="K56" s="27" t="n">
        <v>2520</v>
      </c>
      <c r="L56" s="25" t="inlineStr">
        <is>
          <t>Laura Gómez</t>
        </is>
      </c>
    </row>
    <row r="57">
      <c r="A57" s="7" t="n">
        <v>54</v>
      </c>
      <c r="B57" s="21" t="n">
        <v>106</v>
      </c>
      <c r="C57" s="22" t="inlineStr">
        <is>
          <t>Carlos Rodríguez Morales</t>
        </is>
      </c>
      <c r="D57" s="7" t="inlineStr">
        <is>
          <t>T3 · AMARILLO</t>
        </is>
      </c>
      <c r="E57" s="22" t="inlineStr">
        <is>
          <t>Fractura con compromiso vascular</t>
        </is>
      </c>
      <c r="F57" s="21" t="n">
        <v>64</v>
      </c>
      <c r="G57" s="21" t="inlineStr">
        <is>
          <t>Adulto mayor</t>
        </is>
      </c>
      <c r="H57" s="21" t="inlineStr">
        <is>
          <t>15:31:00</t>
        </is>
      </c>
      <c r="I57" s="21" t="n">
        <v>2520</v>
      </c>
      <c r="J57" s="21" t="n">
        <v>35</v>
      </c>
      <c r="K57" s="27" t="n">
        <v>2555</v>
      </c>
      <c r="L57" s="22" t="inlineStr">
        <is>
          <t>Carlos Ramírez</t>
        </is>
      </c>
    </row>
    <row r="58">
      <c r="A58" s="7" t="n">
        <v>55</v>
      </c>
      <c r="B58" s="24" t="n">
        <v>120</v>
      </c>
      <c r="C58" s="25" t="inlineStr">
        <is>
          <t>Carlos Gómez Pardo</t>
        </is>
      </c>
      <c r="D58" s="7" t="inlineStr">
        <is>
          <t>T3 · AMARILLO</t>
        </is>
      </c>
      <c r="E58" s="25" t="inlineStr">
        <is>
          <t>Dolor abdominal agudo</t>
        </is>
      </c>
      <c r="F58" s="24" t="n">
        <v>64</v>
      </c>
      <c r="G58" s="24" t="inlineStr">
        <is>
          <t>Adulto mayor</t>
        </is>
      </c>
      <c r="H58" s="24" t="inlineStr">
        <is>
          <t>15:42:00</t>
        </is>
      </c>
      <c r="I58" s="24" t="n">
        <v>2555</v>
      </c>
      <c r="J58" s="24" t="n">
        <v>30</v>
      </c>
      <c r="K58" s="27" t="n">
        <v>2585</v>
      </c>
      <c r="L58" s="25" t="inlineStr">
        <is>
          <t>Felipe Herrera</t>
        </is>
      </c>
    </row>
    <row r="59">
      <c r="A59" s="7" t="n">
        <v>56</v>
      </c>
      <c r="B59" s="21" t="n">
        <v>131</v>
      </c>
      <c r="C59" s="22" t="inlineStr">
        <is>
          <t>Jorge Gómez Moreno</t>
        </is>
      </c>
      <c r="D59" s="7" t="inlineStr">
        <is>
          <t>T3 · AMARILLO</t>
        </is>
      </c>
      <c r="E59" s="22" t="inlineStr">
        <is>
          <t>Fractura con compromiso vascular</t>
        </is>
      </c>
      <c r="F59" s="21" t="n">
        <v>63</v>
      </c>
      <c r="G59" s="21" t="inlineStr">
        <is>
          <t>Adulto mayor</t>
        </is>
      </c>
      <c r="H59" s="21" t="inlineStr">
        <is>
          <t>16:00:00</t>
        </is>
      </c>
      <c r="I59" s="21" t="n">
        <v>2585</v>
      </c>
      <c r="J59" s="21" t="n">
        <v>35</v>
      </c>
      <c r="K59" s="27" t="n">
        <v>2620</v>
      </c>
      <c r="L59" s="22" t="inlineStr">
        <is>
          <t>Laura Gómez</t>
        </is>
      </c>
    </row>
    <row r="60">
      <c r="A60" s="7" t="n">
        <v>57</v>
      </c>
      <c r="B60" s="24" t="n">
        <v>132</v>
      </c>
      <c r="C60" s="25" t="inlineStr">
        <is>
          <t>Mariana Pardo Rodríguez</t>
        </is>
      </c>
      <c r="D60" s="7" t="inlineStr">
        <is>
          <t>T3 · AMARILLO</t>
        </is>
      </c>
      <c r="E60" s="25" t="inlineStr">
        <is>
          <t>Fractura con compromiso vascular</t>
        </is>
      </c>
      <c r="F60" s="24" t="n">
        <v>61</v>
      </c>
      <c r="G60" s="24" t="inlineStr">
        <is>
          <t>Adulto mayor</t>
        </is>
      </c>
      <c r="H60" s="24" t="inlineStr">
        <is>
          <t>16:05:00</t>
        </is>
      </c>
      <c r="I60" s="24" t="n">
        <v>2620</v>
      </c>
      <c r="J60" s="24" t="n">
        <v>35</v>
      </c>
      <c r="K60" s="27" t="n">
        <v>2655</v>
      </c>
      <c r="L60" s="25" t="inlineStr">
        <is>
          <t>Felipe Herrera</t>
        </is>
      </c>
    </row>
    <row r="61">
      <c r="A61" s="7" t="n">
        <v>58</v>
      </c>
      <c r="B61" s="21" t="n">
        <v>65</v>
      </c>
      <c r="C61" s="22" t="inlineStr">
        <is>
          <t>Ricardo Díaz Ríos</t>
        </is>
      </c>
      <c r="D61" s="7" t="inlineStr">
        <is>
          <t>T3 · AMARILLO</t>
        </is>
      </c>
      <c r="E61" s="22" t="inlineStr">
        <is>
          <t>Dolor abdominal agudo</t>
        </is>
      </c>
      <c r="F61" s="21" t="n">
        <v>66</v>
      </c>
      <c r="G61" s="21" t="inlineStr">
        <is>
          <t>Adulto mayor</t>
        </is>
      </c>
      <c r="H61" s="21" t="inlineStr">
        <is>
          <t>16:21:00</t>
        </is>
      </c>
      <c r="I61" s="21" t="n">
        <v>2655</v>
      </c>
      <c r="J61" s="21" t="n">
        <v>30</v>
      </c>
      <c r="K61" s="27" t="n">
        <v>2685</v>
      </c>
      <c r="L61" s="22" t="inlineStr">
        <is>
          <t>Felipe Herrera</t>
        </is>
      </c>
    </row>
    <row r="62">
      <c r="A62" s="7" t="n">
        <v>59</v>
      </c>
      <c r="B62" s="24" t="n">
        <v>32</v>
      </c>
      <c r="C62" s="25" t="inlineStr">
        <is>
          <t>Santiago Ramírez Ospina</t>
        </is>
      </c>
      <c r="D62" s="7" t="inlineStr">
        <is>
          <t>T3 · AMARILLO</t>
        </is>
      </c>
      <c r="E62" s="25" t="inlineStr">
        <is>
          <t>Dolor abdominal agudo</t>
        </is>
      </c>
      <c r="F62" s="24" t="n">
        <v>73</v>
      </c>
      <c r="G62" s="24" t="inlineStr">
        <is>
          <t>Adulto mayor</t>
        </is>
      </c>
      <c r="H62" s="24" t="inlineStr">
        <is>
          <t>19:53:00</t>
        </is>
      </c>
      <c r="I62" s="24" t="n">
        <v>2685</v>
      </c>
      <c r="J62" s="24" t="n">
        <v>30</v>
      </c>
      <c r="K62" s="27" t="n">
        <v>2715</v>
      </c>
      <c r="L62" s="25" t="inlineStr">
        <is>
          <t>Laura Gómez</t>
        </is>
      </c>
    </row>
    <row r="63">
      <c r="A63" s="7" t="n">
        <v>60</v>
      </c>
      <c r="B63" s="21" t="n">
        <v>109</v>
      </c>
      <c r="C63" s="22" t="inlineStr">
        <is>
          <t>Carlos Morales Pardo</t>
        </is>
      </c>
      <c r="D63" s="7" t="inlineStr">
        <is>
          <t>T3 · AMARILLO</t>
        </is>
      </c>
      <c r="E63" s="22" t="inlineStr">
        <is>
          <t>Dolor abdominal agudo</t>
        </is>
      </c>
      <c r="F63" s="21" t="n">
        <v>72</v>
      </c>
      <c r="G63" s="21" t="inlineStr">
        <is>
          <t>Adulto mayor</t>
        </is>
      </c>
      <c r="H63" s="21" t="inlineStr">
        <is>
          <t>19:57:00</t>
        </is>
      </c>
      <c r="I63" s="21" t="n">
        <v>2715</v>
      </c>
      <c r="J63" s="21" t="n">
        <v>30</v>
      </c>
      <c r="K63" s="27" t="n">
        <v>2745</v>
      </c>
      <c r="L63" s="22" t="inlineStr">
        <is>
          <t>Andrés Martínez</t>
        </is>
      </c>
    </row>
    <row r="64">
      <c r="A64" s="7" t="n">
        <v>61</v>
      </c>
      <c r="B64" s="24" t="n">
        <v>29</v>
      </c>
      <c r="C64" s="25" t="inlineStr">
        <is>
          <t>Daniela Morales Vargas</t>
        </is>
      </c>
      <c r="D64" s="7" t="inlineStr">
        <is>
          <t>T3 · AMARILLO</t>
        </is>
      </c>
      <c r="E64" s="25" t="inlineStr">
        <is>
          <t>Fractura con compromiso vascular</t>
        </is>
      </c>
      <c r="F64" s="24" t="n">
        <v>18</v>
      </c>
      <c r="G64" s="24" t="inlineStr">
        <is>
          <t>Adulto</t>
        </is>
      </c>
      <c r="H64" s="24" t="inlineStr">
        <is>
          <t>07:07:00</t>
        </is>
      </c>
      <c r="I64" s="24" t="n">
        <v>2745</v>
      </c>
      <c r="J64" s="24" t="n">
        <v>35</v>
      </c>
      <c r="K64" s="27" t="n">
        <v>2780</v>
      </c>
      <c r="L64" s="25" t="inlineStr">
        <is>
          <t>Felipe Herrera</t>
        </is>
      </c>
    </row>
    <row r="65">
      <c r="A65" s="7" t="n">
        <v>62</v>
      </c>
      <c r="B65" s="21" t="n">
        <v>1</v>
      </c>
      <c r="C65" s="22" t="inlineStr">
        <is>
          <t>Juliana Medina Cruz</t>
        </is>
      </c>
      <c r="D65" s="7" t="inlineStr">
        <is>
          <t>T3 · AMARILLO</t>
        </is>
      </c>
      <c r="E65" s="22" t="inlineStr">
        <is>
          <t>Dolor abdominal agudo</t>
        </is>
      </c>
      <c r="F65" s="21" t="n">
        <v>27</v>
      </c>
      <c r="G65" s="21" t="inlineStr">
        <is>
          <t>Adulto</t>
        </is>
      </c>
      <c r="H65" s="21" t="inlineStr">
        <is>
          <t>07:22:00</t>
        </is>
      </c>
      <c r="I65" s="21" t="n">
        <v>2780</v>
      </c>
      <c r="J65" s="21" t="n">
        <v>30</v>
      </c>
      <c r="K65" s="27" t="n">
        <v>2810</v>
      </c>
      <c r="L65" s="22" t="inlineStr">
        <is>
          <t>Felipe Herrera</t>
        </is>
      </c>
    </row>
    <row r="66">
      <c r="A66" s="7" t="n">
        <v>63</v>
      </c>
      <c r="B66" s="24" t="n">
        <v>35</v>
      </c>
      <c r="C66" s="25" t="inlineStr">
        <is>
          <t>Valentina Alvarado Rodríguez</t>
        </is>
      </c>
      <c r="D66" s="7" t="inlineStr">
        <is>
          <t>T3 · AMARILLO</t>
        </is>
      </c>
      <c r="E66" s="25" t="inlineStr">
        <is>
          <t>Fractura con compromiso vascular</t>
        </is>
      </c>
      <c r="F66" s="24" t="n">
        <v>36</v>
      </c>
      <c r="G66" s="24" t="inlineStr">
        <is>
          <t>Adulto</t>
        </is>
      </c>
      <c r="H66" s="24" t="inlineStr">
        <is>
          <t>08:47:00</t>
        </is>
      </c>
      <c r="I66" s="24" t="n">
        <v>2810</v>
      </c>
      <c r="J66" s="24" t="n">
        <v>35</v>
      </c>
      <c r="K66" s="27" t="n">
        <v>2845</v>
      </c>
      <c r="L66" s="25" t="inlineStr">
        <is>
          <t>Andrés Martínez</t>
        </is>
      </c>
    </row>
    <row r="67">
      <c r="A67" s="7" t="n">
        <v>64</v>
      </c>
      <c r="B67" s="21" t="n">
        <v>76</v>
      </c>
      <c r="C67" s="22" t="inlineStr">
        <is>
          <t>Natalia Herrera Ramírez</t>
        </is>
      </c>
      <c r="D67" s="7" t="inlineStr">
        <is>
          <t>T3 · AMARILLO</t>
        </is>
      </c>
      <c r="E67" s="22" t="inlineStr">
        <is>
          <t>Dolor abdominal agudo</t>
        </is>
      </c>
      <c r="F67" s="21" t="n">
        <v>7</v>
      </c>
      <c r="G67" s="21" t="inlineStr">
        <is>
          <t>Menor de edad</t>
        </is>
      </c>
      <c r="H67" s="21" t="inlineStr">
        <is>
          <t>08:51:00</t>
        </is>
      </c>
      <c r="I67" s="21" t="n">
        <v>2845</v>
      </c>
      <c r="J67" s="21" t="n">
        <v>30</v>
      </c>
      <c r="K67" s="27" t="n">
        <v>2875</v>
      </c>
      <c r="L67" s="22" t="inlineStr">
        <is>
          <t>Felipe Herrera</t>
        </is>
      </c>
    </row>
    <row r="68">
      <c r="A68" s="7" t="n">
        <v>65</v>
      </c>
      <c r="B68" s="24" t="n">
        <v>37</v>
      </c>
      <c r="C68" s="25" t="inlineStr">
        <is>
          <t>Luis Ospina Herrera</t>
        </is>
      </c>
      <c r="D68" s="7" t="inlineStr">
        <is>
          <t>T3 · AMARILLO</t>
        </is>
      </c>
      <c r="E68" s="25" t="inlineStr">
        <is>
          <t>Dolor abdominal agudo</t>
        </is>
      </c>
      <c r="F68" s="24" t="n">
        <v>38</v>
      </c>
      <c r="G68" s="24" t="inlineStr">
        <is>
          <t>Adulto</t>
        </is>
      </c>
      <c r="H68" s="24" t="inlineStr">
        <is>
          <t>09:08:00</t>
        </is>
      </c>
      <c r="I68" s="24" t="n">
        <v>2875</v>
      </c>
      <c r="J68" s="24" t="n">
        <v>30</v>
      </c>
      <c r="K68" s="27" t="n">
        <v>2905</v>
      </c>
      <c r="L68" s="25" t="inlineStr">
        <is>
          <t>Felipe Herrera</t>
        </is>
      </c>
    </row>
    <row r="69">
      <c r="A69" s="7" t="n">
        <v>66</v>
      </c>
      <c r="B69" s="21" t="n">
        <v>46</v>
      </c>
      <c r="C69" s="22" t="inlineStr">
        <is>
          <t>Natalia García Moreno</t>
        </is>
      </c>
      <c r="D69" s="7" t="inlineStr">
        <is>
          <t>T3 · AMARILLO</t>
        </is>
      </c>
      <c r="E69" s="22" t="inlineStr">
        <is>
          <t>Fractura con compromiso vascular</t>
        </is>
      </c>
      <c r="F69" s="21" t="n">
        <v>57</v>
      </c>
      <c r="G69" s="21" t="inlineStr">
        <is>
          <t>Adulto</t>
        </is>
      </c>
      <c r="H69" s="21" t="inlineStr">
        <is>
          <t>11:39:00</t>
        </is>
      </c>
      <c r="I69" s="21" t="n">
        <v>2905</v>
      </c>
      <c r="J69" s="21" t="n">
        <v>35</v>
      </c>
      <c r="K69" s="27" t="n">
        <v>2940</v>
      </c>
      <c r="L69" s="22" t="inlineStr">
        <is>
          <t>Sofía Torres</t>
        </is>
      </c>
    </row>
    <row r="70">
      <c r="A70" s="7" t="n">
        <v>67</v>
      </c>
      <c r="B70" s="24" t="n">
        <v>139</v>
      </c>
      <c r="C70" s="25" t="inlineStr">
        <is>
          <t>Luis Martínez Herrera</t>
        </is>
      </c>
      <c r="D70" s="7" t="inlineStr">
        <is>
          <t>T3 · AMARILLO</t>
        </is>
      </c>
      <c r="E70" s="25" t="inlineStr">
        <is>
          <t>Dolor abdominal agudo</t>
        </is>
      </c>
      <c r="F70" s="24" t="n">
        <v>59</v>
      </c>
      <c r="G70" s="24" t="inlineStr">
        <is>
          <t>Adulto</t>
        </is>
      </c>
      <c r="H70" s="24" t="inlineStr">
        <is>
          <t>11:50:00</t>
        </is>
      </c>
      <c r="I70" s="24" t="n">
        <v>2940</v>
      </c>
      <c r="J70" s="24" t="n">
        <v>30</v>
      </c>
      <c r="K70" s="27" t="n">
        <v>2970</v>
      </c>
      <c r="L70" s="25" t="inlineStr">
        <is>
          <t>Andrés Martínez</t>
        </is>
      </c>
    </row>
    <row r="71">
      <c r="A71" s="7" t="n">
        <v>68</v>
      </c>
      <c r="B71" s="21" t="n">
        <v>95</v>
      </c>
      <c r="C71" s="22" t="inlineStr">
        <is>
          <t>Jorge Alvarado Rodríguez</t>
        </is>
      </c>
      <c r="D71" s="7" t="inlineStr">
        <is>
          <t>T3 · AMARILLO</t>
        </is>
      </c>
      <c r="E71" s="22" t="inlineStr">
        <is>
          <t>Dolor abdominal agudo</t>
        </is>
      </c>
      <c r="F71" s="21" t="n">
        <v>24</v>
      </c>
      <c r="G71" s="21" t="inlineStr">
        <is>
          <t>Adulto</t>
        </is>
      </c>
      <c r="H71" s="21" t="inlineStr">
        <is>
          <t>12:00:00</t>
        </is>
      </c>
      <c r="I71" s="21" t="n">
        <v>2970</v>
      </c>
      <c r="J71" s="21" t="n">
        <v>30</v>
      </c>
      <c r="K71" s="27" t="n">
        <v>3000</v>
      </c>
      <c r="L71" s="22" t="inlineStr">
        <is>
          <t>Andrés Martínez</t>
        </is>
      </c>
    </row>
    <row r="72">
      <c r="A72" s="7" t="n">
        <v>69</v>
      </c>
      <c r="B72" s="24" t="n">
        <v>48</v>
      </c>
      <c r="C72" s="25" t="inlineStr">
        <is>
          <t>Nicolás Herrera Díaz</t>
        </is>
      </c>
      <c r="D72" s="7" t="inlineStr">
        <is>
          <t>T3 · AMARILLO</t>
        </is>
      </c>
      <c r="E72" s="25" t="inlineStr">
        <is>
          <t>Fractura con compromiso vascular</t>
        </is>
      </c>
      <c r="F72" s="24" t="n">
        <v>33</v>
      </c>
      <c r="G72" s="24" t="inlineStr">
        <is>
          <t>Adulto</t>
        </is>
      </c>
      <c r="H72" s="24" t="inlineStr">
        <is>
          <t>12:08:00</t>
        </is>
      </c>
      <c r="I72" s="24" t="n">
        <v>3000</v>
      </c>
      <c r="J72" s="24" t="n">
        <v>35</v>
      </c>
      <c r="K72" s="27" t="n">
        <v>3035</v>
      </c>
      <c r="L72" s="25" t="inlineStr">
        <is>
          <t>Laura Gómez</t>
        </is>
      </c>
    </row>
    <row r="73">
      <c r="A73" s="7" t="n">
        <v>70</v>
      </c>
      <c r="B73" s="21" t="n">
        <v>56</v>
      </c>
      <c r="C73" s="22" t="inlineStr">
        <is>
          <t>Alejandra Cruz Ospina</t>
        </is>
      </c>
      <c r="D73" s="7" t="inlineStr">
        <is>
          <t>T3 · AMARILLO</t>
        </is>
      </c>
      <c r="E73" s="22" t="inlineStr">
        <is>
          <t>Dolor abdominal agudo</t>
        </is>
      </c>
      <c r="F73" s="21" t="n">
        <v>51</v>
      </c>
      <c r="G73" s="21" t="inlineStr">
        <is>
          <t>Adulto</t>
        </is>
      </c>
      <c r="H73" s="21" t="inlineStr">
        <is>
          <t>12:25:00</t>
        </is>
      </c>
      <c r="I73" s="21" t="n">
        <v>3035</v>
      </c>
      <c r="J73" s="21" t="n">
        <v>30</v>
      </c>
      <c r="K73" s="27" t="n">
        <v>3065</v>
      </c>
      <c r="L73" s="22" t="inlineStr">
        <is>
          <t>Carlos Ramírez</t>
        </is>
      </c>
    </row>
    <row r="74">
      <c r="A74" s="7" t="n">
        <v>71</v>
      </c>
      <c r="B74" s="24" t="n">
        <v>5</v>
      </c>
      <c r="C74" s="25" t="inlineStr">
        <is>
          <t>Natalia Gómez Moreno</t>
        </is>
      </c>
      <c r="D74" s="7" t="inlineStr">
        <is>
          <t>T3 · AMARILLO</t>
        </is>
      </c>
      <c r="E74" s="25" t="inlineStr">
        <is>
          <t>Dolor abdominal agudo</t>
        </is>
      </c>
      <c r="F74" s="24" t="n">
        <v>51</v>
      </c>
      <c r="G74" s="24" t="inlineStr">
        <is>
          <t>Adulto</t>
        </is>
      </c>
      <c r="H74" s="24" t="inlineStr">
        <is>
          <t>12:32:00</t>
        </is>
      </c>
      <c r="I74" s="24" t="n">
        <v>3065</v>
      </c>
      <c r="J74" s="24" t="n">
        <v>30</v>
      </c>
      <c r="K74" s="27" t="n">
        <v>3095</v>
      </c>
      <c r="L74" s="25" t="inlineStr">
        <is>
          <t>Carlos Ramírez</t>
        </is>
      </c>
    </row>
    <row r="75">
      <c r="A75" s="7" t="n">
        <v>72</v>
      </c>
      <c r="B75" s="21" t="n">
        <v>142</v>
      </c>
      <c r="C75" s="22" t="inlineStr">
        <is>
          <t>Luis Martínez Herrera</t>
        </is>
      </c>
      <c r="D75" s="7" t="inlineStr">
        <is>
          <t>T3 · AMARILLO</t>
        </is>
      </c>
      <c r="E75" s="22" t="inlineStr">
        <is>
          <t>Dolor abdominal agudo</t>
        </is>
      </c>
      <c r="F75" s="21" t="n">
        <v>10</v>
      </c>
      <c r="G75" s="21" t="inlineStr">
        <is>
          <t>Menor de edad</t>
        </is>
      </c>
      <c r="H75" s="21" t="inlineStr">
        <is>
          <t>12:32:00</t>
        </is>
      </c>
      <c r="I75" s="21" t="n">
        <v>3095</v>
      </c>
      <c r="J75" s="21" t="n">
        <v>30</v>
      </c>
      <c r="K75" s="27" t="n">
        <v>3125</v>
      </c>
      <c r="L75" s="22" t="inlineStr">
        <is>
          <t>Felipe Herrera</t>
        </is>
      </c>
    </row>
    <row r="76">
      <c r="A76" s="7" t="n">
        <v>73</v>
      </c>
      <c r="B76" s="24" t="n">
        <v>134</v>
      </c>
      <c r="C76" s="25" t="inlineStr">
        <is>
          <t>Camilo Díaz Morales</t>
        </is>
      </c>
      <c r="D76" s="7" t="inlineStr">
        <is>
          <t>T3 · AMARILLO</t>
        </is>
      </c>
      <c r="E76" s="25" t="inlineStr">
        <is>
          <t>Fractura con compromiso vascular</t>
        </is>
      </c>
      <c r="F76" s="24" t="n">
        <v>53</v>
      </c>
      <c r="G76" s="24" t="inlineStr">
        <is>
          <t>Adulto</t>
        </is>
      </c>
      <c r="H76" s="24" t="inlineStr">
        <is>
          <t>12:39:00</t>
        </is>
      </c>
      <c r="I76" s="24" t="n">
        <v>3125</v>
      </c>
      <c r="J76" s="24" t="n">
        <v>35</v>
      </c>
      <c r="K76" s="27" t="n">
        <v>3160</v>
      </c>
      <c r="L76" s="25" t="inlineStr">
        <is>
          <t>Laura Gómez</t>
        </is>
      </c>
    </row>
    <row r="77">
      <c r="A77" s="7" t="n">
        <v>74</v>
      </c>
      <c r="B77" s="21" t="n">
        <v>47</v>
      </c>
      <c r="C77" s="22" t="inlineStr">
        <is>
          <t>Andrés Ramírez Medina</t>
        </is>
      </c>
      <c r="D77" s="7" t="inlineStr">
        <is>
          <t>T3 · AMARILLO</t>
        </is>
      </c>
      <c r="E77" s="22" t="inlineStr">
        <is>
          <t>Fractura con compromiso vascular</t>
        </is>
      </c>
      <c r="F77" s="21" t="n">
        <v>51</v>
      </c>
      <c r="G77" s="21" t="inlineStr">
        <is>
          <t>Adulto</t>
        </is>
      </c>
      <c r="H77" s="21" t="inlineStr">
        <is>
          <t>13:57:00</t>
        </is>
      </c>
      <c r="I77" s="21" t="n">
        <v>3160</v>
      </c>
      <c r="J77" s="21" t="n">
        <v>35</v>
      </c>
      <c r="K77" s="27" t="n">
        <v>3195</v>
      </c>
      <c r="L77" s="22" t="inlineStr">
        <is>
          <t>Carlos Ramírez</t>
        </is>
      </c>
    </row>
    <row r="78">
      <c r="A78" s="7" t="n">
        <v>75</v>
      </c>
      <c r="B78" s="24" t="n">
        <v>71</v>
      </c>
      <c r="C78" s="25" t="inlineStr">
        <is>
          <t>María Reyes Pardo</t>
        </is>
      </c>
      <c r="D78" s="7" t="inlineStr">
        <is>
          <t>T3 · AMARILLO</t>
        </is>
      </c>
      <c r="E78" s="25" t="inlineStr">
        <is>
          <t>Dolor abdominal agudo</t>
        </is>
      </c>
      <c r="F78" s="24" t="n">
        <v>50</v>
      </c>
      <c r="G78" s="24" t="inlineStr">
        <is>
          <t>Adulto</t>
        </is>
      </c>
      <c r="H78" s="24" t="inlineStr">
        <is>
          <t>13:58:00</t>
        </is>
      </c>
      <c r="I78" s="24" t="n">
        <v>3195</v>
      </c>
      <c r="J78" s="24" t="n">
        <v>30</v>
      </c>
      <c r="K78" s="27" t="n">
        <v>3225</v>
      </c>
      <c r="L78" s="25" t="inlineStr">
        <is>
          <t>Laura Gómez</t>
        </is>
      </c>
    </row>
    <row r="79">
      <c r="A79" s="7" t="n">
        <v>76</v>
      </c>
      <c r="B79" s="21" t="n">
        <v>104</v>
      </c>
      <c r="C79" s="22" t="inlineStr">
        <is>
          <t>Valentina Ríos Rodríguez</t>
        </is>
      </c>
      <c r="D79" s="7" t="inlineStr">
        <is>
          <t>T3 · AMARILLO</t>
        </is>
      </c>
      <c r="E79" s="22" t="inlineStr">
        <is>
          <t>Dolor abdominal agudo</t>
        </is>
      </c>
      <c r="F79" s="21" t="n">
        <v>40</v>
      </c>
      <c r="G79" s="21" t="inlineStr">
        <is>
          <t>Adulto</t>
        </is>
      </c>
      <c r="H79" s="21" t="inlineStr">
        <is>
          <t>14:03:00</t>
        </is>
      </c>
      <c r="I79" s="21" t="n">
        <v>3225</v>
      </c>
      <c r="J79" s="21" t="n">
        <v>30</v>
      </c>
      <c r="K79" s="27" t="n">
        <v>3255</v>
      </c>
      <c r="L79" s="22" t="inlineStr">
        <is>
          <t>Felipe Herrera</t>
        </is>
      </c>
    </row>
    <row r="80">
      <c r="A80" s="7" t="n">
        <v>77</v>
      </c>
      <c r="B80" s="24" t="n">
        <v>41</v>
      </c>
      <c r="C80" s="25" t="inlineStr">
        <is>
          <t>Valentina Cruz Jiménez</t>
        </is>
      </c>
      <c r="D80" s="7" t="inlineStr">
        <is>
          <t>T3 · AMARILLO</t>
        </is>
      </c>
      <c r="E80" s="25" t="inlineStr">
        <is>
          <t>Fractura con compromiso vascular</t>
        </is>
      </c>
      <c r="F80" s="24" t="n">
        <v>20</v>
      </c>
      <c r="G80" s="24" t="inlineStr">
        <is>
          <t>Adulto</t>
        </is>
      </c>
      <c r="H80" s="24" t="inlineStr">
        <is>
          <t>14:16:00</t>
        </is>
      </c>
      <c r="I80" s="24" t="n">
        <v>3255</v>
      </c>
      <c r="J80" s="24" t="n">
        <v>35</v>
      </c>
      <c r="K80" s="27" t="n">
        <v>3290</v>
      </c>
      <c r="L80" s="25" t="inlineStr">
        <is>
          <t>Felipe Herrera</t>
        </is>
      </c>
    </row>
    <row r="81">
      <c r="A81" s="7" t="n">
        <v>78</v>
      </c>
      <c r="B81" s="21" t="n">
        <v>43</v>
      </c>
      <c r="C81" s="22" t="inlineStr">
        <is>
          <t>Carlos Ríos Moreno</t>
        </is>
      </c>
      <c r="D81" s="7" t="inlineStr">
        <is>
          <t>T3 · AMARILLO</t>
        </is>
      </c>
      <c r="E81" s="22" t="inlineStr">
        <is>
          <t>Dolor abdominal agudo</t>
        </is>
      </c>
      <c r="F81" s="21" t="n">
        <v>54</v>
      </c>
      <c r="G81" s="21" t="inlineStr">
        <is>
          <t>Adulto</t>
        </is>
      </c>
      <c r="H81" s="21" t="inlineStr">
        <is>
          <t>14:19:00</t>
        </is>
      </c>
      <c r="I81" s="21" t="n">
        <v>3290</v>
      </c>
      <c r="J81" s="21" t="n">
        <v>30</v>
      </c>
      <c r="K81" s="27" t="n">
        <v>3320</v>
      </c>
      <c r="L81" s="22" t="inlineStr">
        <is>
          <t>Sofía Torres</t>
        </is>
      </c>
    </row>
    <row r="82">
      <c r="A82" s="7" t="n">
        <v>79</v>
      </c>
      <c r="B82" s="24" t="n">
        <v>42</v>
      </c>
      <c r="C82" s="25" t="inlineStr">
        <is>
          <t>Juan Castro Muñoz</t>
        </is>
      </c>
      <c r="D82" s="7" t="inlineStr">
        <is>
          <t>T3 · AMARILLO</t>
        </is>
      </c>
      <c r="E82" s="25" t="inlineStr">
        <is>
          <t>Fractura con compromiso vascular</t>
        </is>
      </c>
      <c r="F82" s="24" t="n">
        <v>34</v>
      </c>
      <c r="G82" s="24" t="inlineStr">
        <is>
          <t>Adulto</t>
        </is>
      </c>
      <c r="H82" s="24" t="inlineStr">
        <is>
          <t>14:21:00</t>
        </is>
      </c>
      <c r="I82" s="24" t="n">
        <v>3320</v>
      </c>
      <c r="J82" s="24" t="n">
        <v>35</v>
      </c>
      <c r="K82" s="27" t="n">
        <v>3355</v>
      </c>
      <c r="L82" s="25" t="inlineStr">
        <is>
          <t>Felipe Herrera</t>
        </is>
      </c>
    </row>
    <row r="83">
      <c r="A83" s="7" t="n">
        <v>80</v>
      </c>
      <c r="B83" s="21" t="n">
        <v>11</v>
      </c>
      <c r="C83" s="22" t="inlineStr">
        <is>
          <t>Claudia Medina Muñoz</t>
        </is>
      </c>
      <c r="D83" s="7" t="inlineStr">
        <is>
          <t>T3 · AMARILLO</t>
        </is>
      </c>
      <c r="E83" s="22" t="inlineStr">
        <is>
          <t>Fractura con compromiso vascular</t>
        </is>
      </c>
      <c r="F83" s="21" t="n">
        <v>20</v>
      </c>
      <c r="G83" s="21" t="inlineStr">
        <is>
          <t>Adulto</t>
        </is>
      </c>
      <c r="H83" s="21" t="inlineStr">
        <is>
          <t>14:48:00</t>
        </is>
      </c>
      <c r="I83" s="21" t="n">
        <v>3355</v>
      </c>
      <c r="J83" s="21" t="n">
        <v>35</v>
      </c>
      <c r="K83" s="27" t="n">
        <v>3390</v>
      </c>
      <c r="L83" s="22" t="inlineStr">
        <is>
          <t>Andrés Martínez</t>
        </is>
      </c>
    </row>
    <row r="84">
      <c r="A84" s="7" t="n">
        <v>81</v>
      </c>
      <c r="B84" s="24" t="n">
        <v>72</v>
      </c>
      <c r="C84" s="25" t="inlineStr">
        <is>
          <t>Felipe Cruz Vargas</t>
        </is>
      </c>
      <c r="D84" s="7" t="inlineStr">
        <is>
          <t>T3 · AMARILLO</t>
        </is>
      </c>
      <c r="E84" s="25" t="inlineStr">
        <is>
          <t>Fractura con compromiso vascular</t>
        </is>
      </c>
      <c r="F84" s="24" t="n">
        <v>12</v>
      </c>
      <c r="G84" s="24" t="inlineStr">
        <is>
          <t>Menor de edad</t>
        </is>
      </c>
      <c r="H84" s="24" t="inlineStr">
        <is>
          <t>14:48:00</t>
        </is>
      </c>
      <c r="I84" s="24" t="n">
        <v>3390</v>
      </c>
      <c r="J84" s="24" t="n">
        <v>35</v>
      </c>
      <c r="K84" s="27" t="n">
        <v>3425</v>
      </c>
      <c r="L84" s="25" t="inlineStr">
        <is>
          <t>Sofía Torres</t>
        </is>
      </c>
    </row>
    <row r="85">
      <c r="A85" s="7" t="n">
        <v>82</v>
      </c>
      <c r="B85" s="21" t="n">
        <v>133</v>
      </c>
      <c r="C85" s="22" t="inlineStr">
        <is>
          <t>Laura Cárdenas Herrera</t>
        </is>
      </c>
      <c r="D85" s="7" t="inlineStr">
        <is>
          <t>T3 · AMARILLO</t>
        </is>
      </c>
      <c r="E85" s="22" t="inlineStr">
        <is>
          <t>Dolor abdominal agudo</t>
        </is>
      </c>
      <c r="F85" s="21" t="n">
        <v>27</v>
      </c>
      <c r="G85" s="21" t="inlineStr">
        <is>
          <t>Adulto</t>
        </is>
      </c>
      <c r="H85" s="21" t="inlineStr">
        <is>
          <t>14:54:00</t>
        </is>
      </c>
      <c r="I85" s="21" t="n">
        <v>3425</v>
      </c>
      <c r="J85" s="21" t="n">
        <v>30</v>
      </c>
      <c r="K85" s="27" t="n">
        <v>3455</v>
      </c>
      <c r="L85" s="22" t="inlineStr">
        <is>
          <t>Sofía Torres</t>
        </is>
      </c>
    </row>
    <row r="86">
      <c r="A86" s="7" t="n">
        <v>83</v>
      </c>
      <c r="B86" s="24" t="n">
        <v>102</v>
      </c>
      <c r="C86" s="25" t="inlineStr">
        <is>
          <t>Santiago Jiménez Herrera</t>
        </is>
      </c>
      <c r="D86" s="7" t="inlineStr">
        <is>
          <t>T3 · AMARILLO</t>
        </is>
      </c>
      <c r="E86" s="25" t="inlineStr">
        <is>
          <t>Dolor abdominal agudo</t>
        </is>
      </c>
      <c r="F86" s="24" t="n">
        <v>21</v>
      </c>
      <c r="G86" s="24" t="inlineStr">
        <is>
          <t>Adulto</t>
        </is>
      </c>
      <c r="H86" s="24" t="inlineStr">
        <is>
          <t>15:06:00</t>
        </is>
      </c>
      <c r="I86" s="24" t="n">
        <v>3455</v>
      </c>
      <c r="J86" s="24" t="n">
        <v>30</v>
      </c>
      <c r="K86" s="27" t="n">
        <v>3485</v>
      </c>
      <c r="L86" s="25" t="inlineStr">
        <is>
          <t>Carlos Ramírez</t>
        </is>
      </c>
    </row>
    <row r="87">
      <c r="A87" s="7" t="n">
        <v>84</v>
      </c>
      <c r="B87" s="21" t="n">
        <v>19</v>
      </c>
      <c r="C87" s="22" t="inlineStr">
        <is>
          <t>Ana Moreno Rodríguez</t>
        </is>
      </c>
      <c r="D87" s="7" t="inlineStr">
        <is>
          <t>T3 · AMARILLO</t>
        </is>
      </c>
      <c r="E87" s="22" t="inlineStr">
        <is>
          <t>Fractura con compromiso vascular</t>
        </is>
      </c>
      <c r="F87" s="21" t="n">
        <v>35</v>
      </c>
      <c r="G87" s="21" t="inlineStr">
        <is>
          <t>Adulto</t>
        </is>
      </c>
      <c r="H87" s="21" t="inlineStr">
        <is>
          <t>15:37:00</t>
        </is>
      </c>
      <c r="I87" s="21" t="n">
        <v>3485</v>
      </c>
      <c r="J87" s="21" t="n">
        <v>35</v>
      </c>
      <c r="K87" s="27" t="n">
        <v>3520</v>
      </c>
      <c r="L87" s="22" t="inlineStr">
        <is>
          <t>Sofía Torres</t>
        </is>
      </c>
    </row>
    <row r="88">
      <c r="A88" s="7" t="n">
        <v>85</v>
      </c>
      <c r="B88" s="24" t="n">
        <v>112</v>
      </c>
      <c r="C88" s="25" t="inlineStr">
        <is>
          <t>Camila Alvarado Castro</t>
        </is>
      </c>
      <c r="D88" s="7" t="inlineStr">
        <is>
          <t>T3 · AMARILLO</t>
        </is>
      </c>
      <c r="E88" s="25" t="inlineStr">
        <is>
          <t>Dolor abdominal agudo</t>
        </is>
      </c>
      <c r="F88" s="24" t="n">
        <v>45</v>
      </c>
      <c r="G88" s="24" t="inlineStr">
        <is>
          <t>Adulto</t>
        </is>
      </c>
      <c r="H88" s="24" t="inlineStr">
        <is>
          <t>15:44:00</t>
        </is>
      </c>
      <c r="I88" s="24" t="n">
        <v>3520</v>
      </c>
      <c r="J88" s="24" t="n">
        <v>30</v>
      </c>
      <c r="K88" s="27" t="n">
        <v>3550</v>
      </c>
      <c r="L88" s="25" t="inlineStr">
        <is>
          <t>Laura Gómez</t>
        </is>
      </c>
    </row>
    <row r="89">
      <c r="A89" s="7" t="n">
        <v>86</v>
      </c>
      <c r="B89" s="21" t="n">
        <v>57</v>
      </c>
      <c r="C89" s="22" t="inlineStr">
        <is>
          <t>Claudia Gómez Bernal</t>
        </is>
      </c>
      <c r="D89" s="7" t="inlineStr">
        <is>
          <t>T3 · AMARILLO</t>
        </is>
      </c>
      <c r="E89" s="22" t="inlineStr">
        <is>
          <t>Fractura con compromiso vascular</t>
        </is>
      </c>
      <c r="F89" s="21" t="n">
        <v>12</v>
      </c>
      <c r="G89" s="21" t="inlineStr">
        <is>
          <t>Menor de edad</t>
        </is>
      </c>
      <c r="H89" s="21" t="inlineStr">
        <is>
          <t>17:20:00</t>
        </is>
      </c>
      <c r="I89" s="21" t="n">
        <v>3550</v>
      </c>
      <c r="J89" s="21" t="n">
        <v>35</v>
      </c>
      <c r="K89" s="27" t="n">
        <v>3585</v>
      </c>
      <c r="L89" s="22" t="inlineStr">
        <is>
          <t>Laura Gómez</t>
        </is>
      </c>
    </row>
    <row r="90">
      <c r="A90" s="7" t="n">
        <v>87</v>
      </c>
      <c r="B90" s="24" t="n">
        <v>14</v>
      </c>
      <c r="C90" s="25" t="inlineStr">
        <is>
          <t>Valentina Herrera López</t>
        </is>
      </c>
      <c r="D90" s="7" t="inlineStr">
        <is>
          <t>T3 · AMARILLO</t>
        </is>
      </c>
      <c r="E90" s="25" t="inlineStr">
        <is>
          <t>Fractura con compromiso vascular</t>
        </is>
      </c>
      <c r="F90" s="24" t="n">
        <v>48</v>
      </c>
      <c r="G90" s="24" t="inlineStr">
        <is>
          <t>Adulto</t>
        </is>
      </c>
      <c r="H90" s="24" t="inlineStr">
        <is>
          <t>18:45:00</t>
        </is>
      </c>
      <c r="I90" s="24" t="n">
        <v>3585</v>
      </c>
      <c r="J90" s="24" t="n">
        <v>35</v>
      </c>
      <c r="K90" s="27" t="n">
        <v>3620</v>
      </c>
      <c r="L90" s="25" t="inlineStr">
        <is>
          <t>Sofía Torres</t>
        </is>
      </c>
    </row>
    <row r="91">
      <c r="A91" s="7" t="n">
        <v>88</v>
      </c>
      <c r="B91" s="21" t="n">
        <v>115</v>
      </c>
      <c r="C91" s="22" t="inlineStr">
        <is>
          <t>Carlos Cárdenas Moreno</t>
        </is>
      </c>
      <c r="D91" s="7" t="inlineStr">
        <is>
          <t>T3 · AMARILLO</t>
        </is>
      </c>
      <c r="E91" s="22" t="inlineStr">
        <is>
          <t>Fractura con compromiso vascular</t>
        </is>
      </c>
      <c r="F91" s="21" t="n">
        <v>49</v>
      </c>
      <c r="G91" s="21" t="inlineStr">
        <is>
          <t>Adulto</t>
        </is>
      </c>
      <c r="H91" s="21" t="inlineStr">
        <is>
          <t>18:48:00</t>
        </is>
      </c>
      <c r="I91" s="21" t="n">
        <v>3620</v>
      </c>
      <c r="J91" s="21" t="n">
        <v>35</v>
      </c>
      <c r="K91" s="27" t="n">
        <v>3655</v>
      </c>
      <c r="L91" s="22" t="inlineStr">
        <is>
          <t>Sofía Torres</t>
        </is>
      </c>
    </row>
    <row r="92">
      <c r="A92" s="7" t="n">
        <v>89</v>
      </c>
      <c r="B92" s="24" t="n">
        <v>80</v>
      </c>
      <c r="C92" s="25" t="inlineStr">
        <is>
          <t>Miguel Vargas Sánchez</t>
        </is>
      </c>
      <c r="D92" s="7" t="inlineStr">
        <is>
          <t>T3 · AMARILLO</t>
        </is>
      </c>
      <c r="E92" s="25" t="inlineStr">
        <is>
          <t>Dolor abdominal agudo</t>
        </is>
      </c>
      <c r="F92" s="24" t="n">
        <v>54</v>
      </c>
      <c r="G92" s="24" t="inlineStr">
        <is>
          <t>Adulto</t>
        </is>
      </c>
      <c r="H92" s="24" t="inlineStr">
        <is>
          <t>19:24:00</t>
        </is>
      </c>
      <c r="I92" s="24" t="n">
        <v>3655</v>
      </c>
      <c r="J92" s="24" t="n">
        <v>30</v>
      </c>
      <c r="K92" s="27" t="n">
        <v>3685</v>
      </c>
      <c r="L92" s="25" t="inlineStr">
        <is>
          <t>Laura Gómez</t>
        </is>
      </c>
    </row>
    <row r="93">
      <c r="A93" s="7" t="n">
        <v>90</v>
      </c>
      <c r="B93" s="21" t="n">
        <v>3</v>
      </c>
      <c r="C93" s="22" t="inlineStr">
        <is>
          <t>Natalia Jiménez Díaz</t>
        </is>
      </c>
      <c r="D93" s="7" t="inlineStr">
        <is>
          <t>T3 · AMARILLO</t>
        </is>
      </c>
      <c r="E93" s="22" t="inlineStr">
        <is>
          <t>Fractura con compromiso vascular</t>
        </is>
      </c>
      <c r="F93" s="21" t="n">
        <v>53</v>
      </c>
      <c r="G93" s="21" t="inlineStr">
        <is>
          <t>Adulto</t>
        </is>
      </c>
      <c r="H93" s="21" t="inlineStr">
        <is>
          <t>20:35:00</t>
        </is>
      </c>
      <c r="I93" s="21" t="n">
        <v>3685</v>
      </c>
      <c r="J93" s="21" t="n">
        <v>35</v>
      </c>
      <c r="K93" s="27" t="n">
        <v>3720</v>
      </c>
      <c r="L93" s="22" t="inlineStr">
        <is>
          <t>Laura Gómez</t>
        </is>
      </c>
    </row>
    <row r="94">
      <c r="A94" s="7" t="n">
        <v>91</v>
      </c>
      <c r="B94" s="24" t="n">
        <v>31</v>
      </c>
      <c r="C94" s="25" t="inlineStr">
        <is>
          <t>Jorge Pardo Castro</t>
        </is>
      </c>
      <c r="D94" s="7" t="inlineStr">
        <is>
          <t>T3 · AMARILLO</t>
        </is>
      </c>
      <c r="E94" s="25" t="inlineStr">
        <is>
          <t>Fractura con compromiso vascular</t>
        </is>
      </c>
      <c r="F94" s="24" t="n">
        <v>7</v>
      </c>
      <c r="G94" s="24" t="inlineStr">
        <is>
          <t>Menor de edad</t>
        </is>
      </c>
      <c r="H94" s="24" t="inlineStr">
        <is>
          <t>20:39:00</t>
        </is>
      </c>
      <c r="I94" s="24" t="n">
        <v>3720</v>
      </c>
      <c r="J94" s="24" t="n">
        <v>35</v>
      </c>
      <c r="K94" s="27" t="n">
        <v>3755</v>
      </c>
      <c r="L94" s="25" t="inlineStr">
        <is>
          <t>Sofía Torres</t>
        </is>
      </c>
    </row>
    <row r="95">
      <c r="A95" s="8" t="n">
        <v>92</v>
      </c>
      <c r="B95" s="21" t="n">
        <v>38</v>
      </c>
      <c r="C95" s="22" t="inlineStr">
        <is>
          <t>María Bernal Morales</t>
        </is>
      </c>
      <c r="D95" s="8" t="inlineStr">
        <is>
          <t>T4 · VERDE</t>
        </is>
      </c>
      <c r="E95" s="22" t="inlineStr">
        <is>
          <t>Fiebre alta con convulsión</t>
        </is>
      </c>
      <c r="F95" s="21" t="n">
        <v>75</v>
      </c>
      <c r="G95" s="21" t="inlineStr">
        <is>
          <t>Anciano</t>
        </is>
      </c>
      <c r="H95" s="21" t="inlineStr">
        <is>
          <t>07:22:00</t>
        </is>
      </c>
      <c r="I95" s="21" t="n">
        <v>3755</v>
      </c>
      <c r="J95" s="21" t="n">
        <v>25</v>
      </c>
      <c r="K95" s="27" t="n">
        <v>3780</v>
      </c>
      <c r="L95" s="22" t="inlineStr">
        <is>
          <t>Carlos Ramírez</t>
        </is>
      </c>
    </row>
    <row r="96">
      <c r="A96" s="8" t="n">
        <v>93</v>
      </c>
      <c r="B96" s="24" t="n">
        <v>108</v>
      </c>
      <c r="C96" s="25" t="inlineStr">
        <is>
          <t>María Ramírez Gómez</t>
        </is>
      </c>
      <c r="D96" s="8" t="inlineStr">
        <is>
          <t>T4 · VERDE</t>
        </is>
      </c>
      <c r="E96" s="25" t="inlineStr">
        <is>
          <t>Fiebre alta con convulsión</t>
        </is>
      </c>
      <c r="F96" s="24" t="n">
        <v>88</v>
      </c>
      <c r="G96" s="24" t="inlineStr">
        <is>
          <t>Anciano</t>
        </is>
      </c>
      <c r="H96" s="24" t="inlineStr">
        <is>
          <t>09:42:00</t>
        </is>
      </c>
      <c r="I96" s="24" t="n">
        <v>3780</v>
      </c>
      <c r="J96" s="24" t="n">
        <v>25</v>
      </c>
      <c r="K96" s="27" t="n">
        <v>3805</v>
      </c>
      <c r="L96" s="25" t="inlineStr">
        <is>
          <t>Sofía Torres</t>
        </is>
      </c>
    </row>
    <row r="97">
      <c r="A97" s="8" t="n">
        <v>94</v>
      </c>
      <c r="B97" s="21" t="n">
        <v>66</v>
      </c>
      <c r="C97" s="22" t="inlineStr">
        <is>
          <t>Juliana Medina López</t>
        </is>
      </c>
      <c r="D97" s="8" t="inlineStr">
        <is>
          <t>T4 · VERDE</t>
        </is>
      </c>
      <c r="E97" s="22" t="inlineStr">
        <is>
          <t>Herida con sangrado moderado</t>
        </is>
      </c>
      <c r="F97" s="21" t="n">
        <v>82</v>
      </c>
      <c r="G97" s="21" t="inlineStr">
        <is>
          <t>Anciano</t>
        </is>
      </c>
      <c r="H97" s="21" t="inlineStr">
        <is>
          <t>10:04:00</t>
        </is>
      </c>
      <c r="I97" s="21" t="n">
        <v>3805</v>
      </c>
      <c r="J97" s="21" t="n">
        <v>20</v>
      </c>
      <c r="K97" s="27" t="n">
        <v>3825</v>
      </c>
      <c r="L97" s="22" t="inlineStr">
        <is>
          <t>Laura Gómez</t>
        </is>
      </c>
    </row>
    <row r="98">
      <c r="A98" s="8" t="n">
        <v>95</v>
      </c>
      <c r="B98" s="24" t="n">
        <v>123</v>
      </c>
      <c r="C98" s="25" t="inlineStr">
        <is>
          <t>Isabella López Ríos</t>
        </is>
      </c>
      <c r="D98" s="8" t="inlineStr">
        <is>
          <t>T4 · VERDE</t>
        </is>
      </c>
      <c r="E98" s="25" t="inlineStr">
        <is>
          <t>Fiebre alta con convulsión</t>
        </is>
      </c>
      <c r="F98" s="24" t="n">
        <v>86</v>
      </c>
      <c r="G98" s="24" t="inlineStr">
        <is>
          <t>Anciano</t>
        </is>
      </c>
      <c r="H98" s="24" t="inlineStr">
        <is>
          <t>12:47:00</t>
        </is>
      </c>
      <c r="I98" s="24" t="n">
        <v>3825</v>
      </c>
      <c r="J98" s="24" t="n">
        <v>25</v>
      </c>
      <c r="K98" s="27" t="n">
        <v>3850</v>
      </c>
      <c r="L98" s="25" t="inlineStr">
        <is>
          <t>Felipe Herrera</t>
        </is>
      </c>
    </row>
    <row r="99">
      <c r="A99" s="8" t="n">
        <v>96</v>
      </c>
      <c r="B99" s="21" t="n">
        <v>93</v>
      </c>
      <c r="C99" s="22" t="inlineStr">
        <is>
          <t>Paula López Sánchez</t>
        </is>
      </c>
      <c r="D99" s="8" t="inlineStr">
        <is>
          <t>T4 · VERDE</t>
        </is>
      </c>
      <c r="E99" s="22" t="inlineStr">
        <is>
          <t>Fiebre alta con convulsión</t>
        </is>
      </c>
      <c r="F99" s="21" t="n">
        <v>82</v>
      </c>
      <c r="G99" s="21" t="inlineStr">
        <is>
          <t>Anciano</t>
        </is>
      </c>
      <c r="H99" s="21" t="inlineStr">
        <is>
          <t>13:38:00</t>
        </is>
      </c>
      <c r="I99" s="21" t="n">
        <v>3850</v>
      </c>
      <c r="J99" s="21" t="n">
        <v>25</v>
      </c>
      <c r="K99" s="27" t="n">
        <v>3875</v>
      </c>
      <c r="L99" s="22" t="inlineStr">
        <is>
          <t>Sofía Torres</t>
        </is>
      </c>
    </row>
    <row r="100">
      <c r="A100" s="8" t="n">
        <v>97</v>
      </c>
      <c r="B100" s="24" t="n">
        <v>110</v>
      </c>
      <c r="C100" s="25" t="inlineStr">
        <is>
          <t>Carlos Cruz Díaz</t>
        </is>
      </c>
      <c r="D100" s="8" t="inlineStr">
        <is>
          <t>T4 · VERDE</t>
        </is>
      </c>
      <c r="E100" s="25" t="inlineStr">
        <is>
          <t>Fiebre alta con convulsión</t>
        </is>
      </c>
      <c r="F100" s="24" t="n">
        <v>79</v>
      </c>
      <c r="G100" s="24" t="inlineStr">
        <is>
          <t>Anciano</t>
        </is>
      </c>
      <c r="H100" s="24" t="inlineStr">
        <is>
          <t>14:42:00</t>
        </is>
      </c>
      <c r="I100" s="24" t="n">
        <v>3875</v>
      </c>
      <c r="J100" s="24" t="n">
        <v>25</v>
      </c>
      <c r="K100" s="27" t="n">
        <v>3900</v>
      </c>
      <c r="L100" s="25" t="inlineStr">
        <is>
          <t>Carlos Ramírez</t>
        </is>
      </c>
    </row>
    <row r="101">
      <c r="A101" s="8" t="n">
        <v>98</v>
      </c>
      <c r="B101" s="21" t="n">
        <v>136</v>
      </c>
      <c r="C101" s="22" t="inlineStr">
        <is>
          <t>Fernanda Pardo Jiménez</t>
        </is>
      </c>
      <c r="D101" s="8" t="inlineStr">
        <is>
          <t>T4 · VERDE</t>
        </is>
      </c>
      <c r="E101" s="22" t="inlineStr">
        <is>
          <t>Herida con sangrado moderado</t>
        </is>
      </c>
      <c r="F101" s="21" t="n">
        <v>1</v>
      </c>
      <c r="G101" s="21" t="inlineStr">
        <is>
          <t>Neonato</t>
        </is>
      </c>
      <c r="H101" s="21" t="inlineStr">
        <is>
          <t>15:54:00</t>
        </is>
      </c>
      <c r="I101" s="21" t="n">
        <v>3900</v>
      </c>
      <c r="J101" s="21" t="n">
        <v>20</v>
      </c>
      <c r="K101" s="27" t="n">
        <v>3920</v>
      </c>
      <c r="L101" s="22" t="inlineStr">
        <is>
          <t>Felipe Herrera</t>
        </is>
      </c>
    </row>
    <row r="102">
      <c r="A102" s="8" t="n">
        <v>99</v>
      </c>
      <c r="B102" s="24" t="n">
        <v>84</v>
      </c>
      <c r="C102" s="25" t="inlineStr">
        <is>
          <t>Camila López Jiménez</t>
        </is>
      </c>
      <c r="D102" s="8" t="inlineStr">
        <is>
          <t>T4 · VERDE</t>
        </is>
      </c>
      <c r="E102" s="25" t="inlineStr">
        <is>
          <t>Fiebre alta con convulsión</t>
        </is>
      </c>
      <c r="F102" s="24" t="n">
        <v>75</v>
      </c>
      <c r="G102" s="24" t="inlineStr">
        <is>
          <t>Anciano</t>
        </is>
      </c>
      <c r="H102" s="24" t="inlineStr">
        <is>
          <t>20:53:00</t>
        </is>
      </c>
      <c r="I102" s="24" t="n">
        <v>3920</v>
      </c>
      <c r="J102" s="24" t="n">
        <v>25</v>
      </c>
      <c r="K102" s="27" t="n">
        <v>3945</v>
      </c>
      <c r="L102" s="25" t="inlineStr">
        <is>
          <t>Felipe Herrera</t>
        </is>
      </c>
    </row>
    <row r="103">
      <c r="A103" s="8" t="n">
        <v>100</v>
      </c>
      <c r="B103" s="21" t="n">
        <v>107</v>
      </c>
      <c r="C103" s="22" t="inlineStr">
        <is>
          <t>Laura Pardo Gómez</t>
        </is>
      </c>
      <c r="D103" s="8" t="inlineStr">
        <is>
          <t>T4 · VERDE</t>
        </is>
      </c>
      <c r="E103" s="22" t="inlineStr">
        <is>
          <t>Herida con sangrado moderado</t>
        </is>
      </c>
      <c r="F103" s="21" t="n">
        <v>2</v>
      </c>
      <c r="G103" s="21" t="inlineStr">
        <is>
          <t>Infante</t>
        </is>
      </c>
      <c r="H103" s="21" t="inlineStr">
        <is>
          <t>08:42:00</t>
        </is>
      </c>
      <c r="I103" s="21" t="n">
        <v>3945</v>
      </c>
      <c r="J103" s="21" t="n">
        <v>20</v>
      </c>
      <c r="K103" s="27" t="n">
        <v>3965</v>
      </c>
      <c r="L103" s="22" t="inlineStr">
        <is>
          <t>Laura Gómez</t>
        </is>
      </c>
    </row>
    <row r="104">
      <c r="A104" s="8" t="n">
        <v>101</v>
      </c>
      <c r="B104" s="24" t="n">
        <v>54</v>
      </c>
      <c r="C104" s="25" t="inlineStr">
        <is>
          <t>Felipe Gómez Bernal</t>
        </is>
      </c>
      <c r="D104" s="8" t="inlineStr">
        <is>
          <t>T4 · VERDE</t>
        </is>
      </c>
      <c r="E104" s="25" t="inlineStr">
        <is>
          <t>Herida con sangrado moderado</t>
        </is>
      </c>
      <c r="F104" s="24" t="n">
        <v>5</v>
      </c>
      <c r="G104" s="24" t="inlineStr">
        <is>
          <t>Infante</t>
        </is>
      </c>
      <c r="H104" s="24" t="inlineStr">
        <is>
          <t>12:55:00</t>
        </is>
      </c>
      <c r="I104" s="24" t="n">
        <v>3965</v>
      </c>
      <c r="J104" s="24" t="n">
        <v>20</v>
      </c>
      <c r="K104" s="27" t="n">
        <v>3985</v>
      </c>
      <c r="L104" s="25" t="inlineStr">
        <is>
          <t>Andrés Martínez</t>
        </is>
      </c>
    </row>
    <row r="105">
      <c r="A105" s="8" t="n">
        <v>102</v>
      </c>
      <c r="B105" s="21" t="n">
        <v>100</v>
      </c>
      <c r="C105" s="22" t="inlineStr">
        <is>
          <t>Valentina Morales Torres</t>
        </is>
      </c>
      <c r="D105" s="8" t="inlineStr">
        <is>
          <t>T4 · VERDE</t>
        </is>
      </c>
      <c r="E105" s="22" t="inlineStr">
        <is>
          <t>Fiebre alta con convulsión</t>
        </is>
      </c>
      <c r="F105" s="21" t="n">
        <v>64</v>
      </c>
      <c r="G105" s="21" t="inlineStr">
        <is>
          <t>Adulto mayor</t>
        </is>
      </c>
      <c r="H105" s="21" t="inlineStr">
        <is>
          <t>07:07:00</t>
        </is>
      </c>
      <c r="I105" s="21" t="n">
        <v>3985</v>
      </c>
      <c r="J105" s="21" t="n">
        <v>25</v>
      </c>
      <c r="K105" s="27" t="n">
        <v>4010</v>
      </c>
      <c r="L105" s="22" t="inlineStr">
        <is>
          <t>Carlos Ramírez</t>
        </is>
      </c>
    </row>
    <row r="106">
      <c r="A106" s="8" t="n">
        <v>103</v>
      </c>
      <c r="B106" s="24" t="n">
        <v>138</v>
      </c>
      <c r="C106" s="25" t="inlineStr">
        <is>
          <t>Sebastián Ríos Sánchez</t>
        </is>
      </c>
      <c r="D106" s="8" t="inlineStr">
        <is>
          <t>T4 · VERDE</t>
        </is>
      </c>
      <c r="E106" s="25" t="inlineStr">
        <is>
          <t>Fiebre alta con convulsión</t>
        </is>
      </c>
      <c r="F106" s="24" t="n">
        <v>63</v>
      </c>
      <c r="G106" s="24" t="inlineStr">
        <is>
          <t>Adulto mayor</t>
        </is>
      </c>
      <c r="H106" s="24" t="inlineStr">
        <is>
          <t>07:30:00</t>
        </is>
      </c>
      <c r="I106" s="24" t="n">
        <v>4010</v>
      </c>
      <c r="J106" s="24" t="n">
        <v>25</v>
      </c>
      <c r="K106" s="27" t="n">
        <v>4035</v>
      </c>
      <c r="L106" s="25" t="inlineStr">
        <is>
          <t>Laura Gómez</t>
        </is>
      </c>
    </row>
    <row r="107">
      <c r="A107" s="8" t="n">
        <v>104</v>
      </c>
      <c r="B107" s="21" t="n">
        <v>49</v>
      </c>
      <c r="C107" s="22" t="inlineStr">
        <is>
          <t>Alejandra Jiménez Alvarado</t>
        </is>
      </c>
      <c r="D107" s="8" t="inlineStr">
        <is>
          <t>T4 · VERDE</t>
        </is>
      </c>
      <c r="E107" s="22" t="inlineStr">
        <is>
          <t>Herida con sangrado moderado</t>
        </is>
      </c>
      <c r="F107" s="21" t="n">
        <v>69</v>
      </c>
      <c r="G107" s="21" t="inlineStr">
        <is>
          <t>Adulto mayor</t>
        </is>
      </c>
      <c r="H107" s="21" t="inlineStr">
        <is>
          <t>08:24:00</t>
        </is>
      </c>
      <c r="I107" s="21" t="n">
        <v>4035</v>
      </c>
      <c r="J107" s="21" t="n">
        <v>20</v>
      </c>
      <c r="K107" s="27" t="n">
        <v>4055</v>
      </c>
      <c r="L107" s="22" t="inlineStr">
        <is>
          <t>Laura Gómez</t>
        </is>
      </c>
    </row>
    <row r="108">
      <c r="A108" s="8" t="n">
        <v>105</v>
      </c>
      <c r="B108" s="24" t="n">
        <v>119</v>
      </c>
      <c r="C108" s="25" t="inlineStr">
        <is>
          <t>Felipe Martínez Martínez</t>
        </is>
      </c>
      <c r="D108" s="8" t="inlineStr">
        <is>
          <t>T4 · VERDE</t>
        </is>
      </c>
      <c r="E108" s="25" t="inlineStr">
        <is>
          <t>Herida con sangrado moderado</t>
        </is>
      </c>
      <c r="F108" s="24" t="n">
        <v>64</v>
      </c>
      <c r="G108" s="24" t="inlineStr">
        <is>
          <t>Adulto mayor</t>
        </is>
      </c>
      <c r="H108" s="24" t="inlineStr">
        <is>
          <t>10:40:00</t>
        </is>
      </c>
      <c r="I108" s="24" t="n">
        <v>4055</v>
      </c>
      <c r="J108" s="24" t="n">
        <v>20</v>
      </c>
      <c r="K108" s="27" t="n">
        <v>4075</v>
      </c>
      <c r="L108" s="25" t="inlineStr">
        <is>
          <t>Carlos Ramírez</t>
        </is>
      </c>
    </row>
    <row r="109">
      <c r="A109" s="8" t="n">
        <v>106</v>
      </c>
      <c r="B109" s="21" t="n">
        <v>73</v>
      </c>
      <c r="C109" s="22" t="inlineStr">
        <is>
          <t>David Medina Cárdenas</t>
        </is>
      </c>
      <c r="D109" s="8" t="inlineStr">
        <is>
          <t>T4 · VERDE</t>
        </is>
      </c>
      <c r="E109" s="22" t="inlineStr">
        <is>
          <t>Herida con sangrado moderado</t>
        </is>
      </c>
      <c r="F109" s="21" t="n">
        <v>72</v>
      </c>
      <c r="G109" s="21" t="inlineStr">
        <is>
          <t>Adulto mayor</t>
        </is>
      </c>
      <c r="H109" s="21" t="inlineStr">
        <is>
          <t>12:39:00</t>
        </is>
      </c>
      <c r="I109" s="21" t="n">
        <v>4075</v>
      </c>
      <c r="J109" s="21" t="n">
        <v>20</v>
      </c>
      <c r="K109" s="27" t="n">
        <v>4095</v>
      </c>
      <c r="L109" s="22" t="inlineStr">
        <is>
          <t>Felipe Herrera</t>
        </is>
      </c>
    </row>
    <row r="110">
      <c r="A110" s="8" t="n">
        <v>107</v>
      </c>
      <c r="B110" s="24" t="n">
        <v>74</v>
      </c>
      <c r="C110" s="25" t="inlineStr">
        <is>
          <t>Alejandro Pardo Pardo</t>
        </is>
      </c>
      <c r="D110" s="8" t="inlineStr">
        <is>
          <t>T4 · VERDE</t>
        </is>
      </c>
      <c r="E110" s="25" t="inlineStr">
        <is>
          <t>Fiebre alta con convulsión</t>
        </is>
      </c>
      <c r="F110" s="24" t="n">
        <v>65</v>
      </c>
      <c r="G110" s="24" t="inlineStr">
        <is>
          <t>Adulto mayor</t>
        </is>
      </c>
      <c r="H110" s="24" t="inlineStr">
        <is>
          <t>14:03:00</t>
        </is>
      </c>
      <c r="I110" s="24" t="n">
        <v>4095</v>
      </c>
      <c r="J110" s="24" t="n">
        <v>25</v>
      </c>
      <c r="K110" s="27" t="n">
        <v>4120</v>
      </c>
      <c r="L110" s="25" t="inlineStr">
        <is>
          <t>Andrés Martínez</t>
        </is>
      </c>
    </row>
    <row r="111">
      <c r="A111" s="8" t="n">
        <v>108</v>
      </c>
      <c r="B111" s="21" t="n">
        <v>89</v>
      </c>
      <c r="C111" s="22" t="inlineStr">
        <is>
          <t>Daniel Sánchez Rodríguez</t>
        </is>
      </c>
      <c r="D111" s="8" t="inlineStr">
        <is>
          <t>T4 · VERDE</t>
        </is>
      </c>
      <c r="E111" s="22" t="inlineStr">
        <is>
          <t>Fiebre alta con convulsión</t>
        </is>
      </c>
      <c r="F111" s="21" t="n">
        <v>71</v>
      </c>
      <c r="G111" s="21" t="inlineStr">
        <is>
          <t>Adulto mayor</t>
        </is>
      </c>
      <c r="H111" s="21" t="inlineStr">
        <is>
          <t>15:58:00</t>
        </is>
      </c>
      <c r="I111" s="21" t="n">
        <v>4120</v>
      </c>
      <c r="J111" s="21" t="n">
        <v>25</v>
      </c>
      <c r="K111" s="27" t="n">
        <v>4145</v>
      </c>
      <c r="L111" s="22" t="inlineStr">
        <is>
          <t>Felipe Herrera</t>
        </is>
      </c>
    </row>
    <row r="112">
      <c r="A112" s="8" t="n">
        <v>109</v>
      </c>
      <c r="B112" s="24" t="n">
        <v>92</v>
      </c>
      <c r="C112" s="25" t="inlineStr">
        <is>
          <t>Daniel Moreno Alvarado</t>
        </is>
      </c>
      <c r="D112" s="8" t="inlineStr">
        <is>
          <t>T4 · VERDE</t>
        </is>
      </c>
      <c r="E112" s="25" t="inlineStr">
        <is>
          <t>Fiebre alta con convulsión</t>
        </is>
      </c>
      <c r="F112" s="24" t="n">
        <v>63</v>
      </c>
      <c r="G112" s="24" t="inlineStr">
        <is>
          <t>Adulto mayor</t>
        </is>
      </c>
      <c r="H112" s="24" t="inlineStr">
        <is>
          <t>20:04:00</t>
        </is>
      </c>
      <c r="I112" s="24" t="n">
        <v>4145</v>
      </c>
      <c r="J112" s="24" t="n">
        <v>25</v>
      </c>
      <c r="K112" s="27" t="n">
        <v>4170</v>
      </c>
      <c r="L112" s="25" t="inlineStr">
        <is>
          <t>Carlos Ramírez</t>
        </is>
      </c>
    </row>
    <row r="113">
      <c r="A113" s="8" t="n">
        <v>110</v>
      </c>
      <c r="B113" s="21" t="n">
        <v>87</v>
      </c>
      <c r="C113" s="22" t="inlineStr">
        <is>
          <t>Ricardo Sánchez Herrera</t>
        </is>
      </c>
      <c r="D113" s="8" t="inlineStr">
        <is>
          <t>T4 · VERDE</t>
        </is>
      </c>
      <c r="E113" s="22" t="inlineStr">
        <is>
          <t>Fiebre alta con convulsión</t>
        </is>
      </c>
      <c r="F113" s="21" t="n">
        <v>26</v>
      </c>
      <c r="G113" s="21" t="inlineStr">
        <is>
          <t>Adulto</t>
        </is>
      </c>
      <c r="H113" s="21" t="inlineStr">
        <is>
          <t>07:34:00</t>
        </is>
      </c>
      <c r="I113" s="21" t="n">
        <v>4170</v>
      </c>
      <c r="J113" s="21" t="n">
        <v>25</v>
      </c>
      <c r="K113" s="27" t="n">
        <v>4195</v>
      </c>
      <c r="L113" s="22" t="inlineStr">
        <is>
          <t>Andrés Martínez</t>
        </is>
      </c>
    </row>
    <row r="114">
      <c r="A114" s="8" t="n">
        <v>111</v>
      </c>
      <c r="B114" s="24" t="n">
        <v>86</v>
      </c>
      <c r="C114" s="25" t="inlineStr">
        <is>
          <t>Laura Medina Cruz</t>
        </is>
      </c>
      <c r="D114" s="8" t="inlineStr">
        <is>
          <t>T4 · VERDE</t>
        </is>
      </c>
      <c r="E114" s="25" t="inlineStr">
        <is>
          <t>Herida con sangrado moderado</t>
        </is>
      </c>
      <c r="F114" s="24" t="n">
        <v>57</v>
      </c>
      <c r="G114" s="24" t="inlineStr">
        <is>
          <t>Adulto</t>
        </is>
      </c>
      <c r="H114" s="24" t="inlineStr">
        <is>
          <t>07:41:00</t>
        </is>
      </c>
      <c r="I114" s="24" t="n">
        <v>4195</v>
      </c>
      <c r="J114" s="24" t="n">
        <v>20</v>
      </c>
      <c r="K114" s="27" t="n">
        <v>4215</v>
      </c>
      <c r="L114" s="25" t="inlineStr">
        <is>
          <t>Carlos Ramírez</t>
        </is>
      </c>
    </row>
    <row r="115">
      <c r="A115" s="8" t="n">
        <v>112</v>
      </c>
      <c r="B115" s="21" t="n">
        <v>94</v>
      </c>
      <c r="C115" s="22" t="inlineStr">
        <is>
          <t>David Gómez Castro</t>
        </is>
      </c>
      <c r="D115" s="8" t="inlineStr">
        <is>
          <t>T4 · VERDE</t>
        </is>
      </c>
      <c r="E115" s="22" t="inlineStr">
        <is>
          <t>Fiebre alta con convulsión</t>
        </is>
      </c>
      <c r="F115" s="21" t="n">
        <v>29</v>
      </c>
      <c r="G115" s="21" t="inlineStr">
        <is>
          <t>Adulto</t>
        </is>
      </c>
      <c r="H115" s="21" t="inlineStr">
        <is>
          <t>08:17:00</t>
        </is>
      </c>
      <c r="I115" s="21" t="n">
        <v>4215</v>
      </c>
      <c r="J115" s="21" t="n">
        <v>25</v>
      </c>
      <c r="K115" s="27" t="n">
        <v>4240</v>
      </c>
      <c r="L115" s="22" t="inlineStr">
        <is>
          <t>Carlos Ramírez</t>
        </is>
      </c>
    </row>
    <row r="116">
      <c r="A116" s="8" t="n">
        <v>113</v>
      </c>
      <c r="B116" s="24" t="n">
        <v>91</v>
      </c>
      <c r="C116" s="25" t="inlineStr">
        <is>
          <t>Paula Torres López</t>
        </is>
      </c>
      <c r="D116" s="8" t="inlineStr">
        <is>
          <t>T4 · VERDE</t>
        </is>
      </c>
      <c r="E116" s="25" t="inlineStr">
        <is>
          <t>Herida con sangrado moderado</t>
        </is>
      </c>
      <c r="F116" s="24" t="n">
        <v>18</v>
      </c>
      <c r="G116" s="24" t="inlineStr">
        <is>
          <t>Adulto</t>
        </is>
      </c>
      <c r="H116" s="24" t="inlineStr">
        <is>
          <t>08:32:00</t>
        </is>
      </c>
      <c r="I116" s="24" t="n">
        <v>4240</v>
      </c>
      <c r="J116" s="24" t="n">
        <v>20</v>
      </c>
      <c r="K116" s="27" t="n">
        <v>4260</v>
      </c>
      <c r="L116" s="25" t="inlineStr">
        <is>
          <t>Andrés Martínez</t>
        </is>
      </c>
    </row>
    <row r="117">
      <c r="A117" s="8" t="n">
        <v>114</v>
      </c>
      <c r="B117" s="21" t="n">
        <v>145</v>
      </c>
      <c r="C117" s="22" t="inlineStr">
        <is>
          <t>Camilo Ramírez Ramírez</t>
        </is>
      </c>
      <c r="D117" s="8" t="inlineStr">
        <is>
          <t>T4 · VERDE</t>
        </is>
      </c>
      <c r="E117" s="22" t="inlineStr">
        <is>
          <t>Fiebre alta con convulsión</t>
        </is>
      </c>
      <c r="F117" s="21" t="n">
        <v>52</v>
      </c>
      <c r="G117" s="21" t="inlineStr">
        <is>
          <t>Adulto</t>
        </is>
      </c>
      <c r="H117" s="21" t="inlineStr">
        <is>
          <t>09:35:00</t>
        </is>
      </c>
      <c r="I117" s="21" t="n">
        <v>4260</v>
      </c>
      <c r="J117" s="21" t="n">
        <v>25</v>
      </c>
      <c r="K117" s="27" t="n">
        <v>4285</v>
      </c>
      <c r="L117" s="22" t="inlineStr">
        <is>
          <t>Carlos Ramírez</t>
        </is>
      </c>
    </row>
    <row r="118">
      <c r="A118" s="8" t="n">
        <v>115</v>
      </c>
      <c r="B118" s="24" t="n">
        <v>20</v>
      </c>
      <c r="C118" s="25" t="inlineStr">
        <is>
          <t>Nicolás Ríos Cárdenas</t>
        </is>
      </c>
      <c r="D118" s="8" t="inlineStr">
        <is>
          <t>T4 · VERDE</t>
        </is>
      </c>
      <c r="E118" s="25" t="inlineStr">
        <is>
          <t>Fiebre alta con convulsión</t>
        </is>
      </c>
      <c r="F118" s="24" t="n">
        <v>43</v>
      </c>
      <c r="G118" s="24" t="inlineStr">
        <is>
          <t>Adulto</t>
        </is>
      </c>
      <c r="H118" s="24" t="inlineStr">
        <is>
          <t>10:05:00</t>
        </is>
      </c>
      <c r="I118" s="24" t="n">
        <v>4285</v>
      </c>
      <c r="J118" s="24" t="n">
        <v>25</v>
      </c>
      <c r="K118" s="27" t="n">
        <v>4310</v>
      </c>
      <c r="L118" s="25" t="inlineStr">
        <is>
          <t>Laura Gómez</t>
        </is>
      </c>
    </row>
    <row r="119">
      <c r="A119" s="8" t="n">
        <v>116</v>
      </c>
      <c r="B119" s="21" t="n">
        <v>111</v>
      </c>
      <c r="C119" s="22" t="inlineStr">
        <is>
          <t>Sofía Torres Herrera</t>
        </is>
      </c>
      <c r="D119" s="8" t="inlineStr">
        <is>
          <t>T4 · VERDE</t>
        </is>
      </c>
      <c r="E119" s="22" t="inlineStr">
        <is>
          <t>Fiebre alta con convulsión</t>
        </is>
      </c>
      <c r="F119" s="21" t="n">
        <v>43</v>
      </c>
      <c r="G119" s="21" t="inlineStr">
        <is>
          <t>Adulto</t>
        </is>
      </c>
      <c r="H119" s="21" t="inlineStr">
        <is>
          <t>10:25:00</t>
        </is>
      </c>
      <c r="I119" s="21" t="n">
        <v>4310</v>
      </c>
      <c r="J119" s="21" t="n">
        <v>25</v>
      </c>
      <c r="K119" s="27" t="n">
        <v>4335</v>
      </c>
      <c r="L119" s="22" t="inlineStr">
        <is>
          <t>Andrés Martínez</t>
        </is>
      </c>
    </row>
    <row r="120">
      <c r="A120" s="8" t="n">
        <v>117</v>
      </c>
      <c r="B120" s="24" t="n">
        <v>44</v>
      </c>
      <c r="C120" s="25" t="inlineStr">
        <is>
          <t>Sebastián Muñoz Torres</t>
        </is>
      </c>
      <c r="D120" s="8" t="inlineStr">
        <is>
          <t>T4 · VERDE</t>
        </is>
      </c>
      <c r="E120" s="25" t="inlineStr">
        <is>
          <t>Herida con sangrado moderado</t>
        </is>
      </c>
      <c r="F120" s="24" t="n">
        <v>42</v>
      </c>
      <c r="G120" s="24" t="inlineStr">
        <is>
          <t>Adulto</t>
        </is>
      </c>
      <c r="H120" s="24" t="inlineStr">
        <is>
          <t>10:30:00</t>
        </is>
      </c>
      <c r="I120" s="24" t="n">
        <v>4335</v>
      </c>
      <c r="J120" s="24" t="n">
        <v>20</v>
      </c>
      <c r="K120" s="27" t="n">
        <v>4355</v>
      </c>
      <c r="L120" s="25" t="inlineStr">
        <is>
          <t>Andrés Martínez</t>
        </is>
      </c>
    </row>
    <row r="121">
      <c r="A121" s="8" t="n">
        <v>118</v>
      </c>
      <c r="B121" s="21" t="n">
        <v>77</v>
      </c>
      <c r="C121" s="22" t="inlineStr">
        <is>
          <t>Alejandra Reyes Cruz</t>
        </is>
      </c>
      <c r="D121" s="8" t="inlineStr">
        <is>
          <t>T4 · VERDE</t>
        </is>
      </c>
      <c r="E121" s="22" t="inlineStr">
        <is>
          <t>Fiebre alta con convulsión</t>
        </is>
      </c>
      <c r="F121" s="21" t="n">
        <v>28</v>
      </c>
      <c r="G121" s="21" t="inlineStr">
        <is>
          <t>Adulto</t>
        </is>
      </c>
      <c r="H121" s="21" t="inlineStr">
        <is>
          <t>11:28:00</t>
        </is>
      </c>
      <c r="I121" s="21" t="n">
        <v>4355</v>
      </c>
      <c r="J121" s="21" t="n">
        <v>25</v>
      </c>
      <c r="K121" s="27" t="n">
        <v>4380</v>
      </c>
      <c r="L121" s="22" t="inlineStr">
        <is>
          <t>Laura Gómez</t>
        </is>
      </c>
    </row>
    <row r="122">
      <c r="A122" s="8" t="n">
        <v>119</v>
      </c>
      <c r="B122" s="24" t="n">
        <v>78</v>
      </c>
      <c r="C122" s="25" t="inlineStr">
        <is>
          <t>Sebastián Medina Morales</t>
        </is>
      </c>
      <c r="D122" s="8" t="inlineStr">
        <is>
          <t>T4 · VERDE</t>
        </is>
      </c>
      <c r="E122" s="25" t="inlineStr">
        <is>
          <t>Fiebre alta con convulsión</t>
        </is>
      </c>
      <c r="F122" s="24" t="n">
        <v>53</v>
      </c>
      <c r="G122" s="24" t="inlineStr">
        <is>
          <t>Adulto</t>
        </is>
      </c>
      <c r="H122" s="24" t="inlineStr">
        <is>
          <t>11:49:00</t>
        </is>
      </c>
      <c r="I122" s="24" t="n">
        <v>4380</v>
      </c>
      <c r="J122" s="24" t="n">
        <v>25</v>
      </c>
      <c r="K122" s="27" t="n">
        <v>4405</v>
      </c>
      <c r="L122" s="25" t="inlineStr">
        <is>
          <t>Felipe Herrera</t>
        </is>
      </c>
    </row>
    <row r="123">
      <c r="A123" s="8" t="n">
        <v>120</v>
      </c>
      <c r="B123" s="21" t="n">
        <v>27</v>
      </c>
      <c r="C123" s="22" t="inlineStr">
        <is>
          <t>Daniel Medina Gómez</t>
        </is>
      </c>
      <c r="D123" s="8" t="inlineStr">
        <is>
          <t>T4 · VERDE</t>
        </is>
      </c>
      <c r="E123" s="22" t="inlineStr">
        <is>
          <t>Fiebre alta con convulsión</t>
        </is>
      </c>
      <c r="F123" s="21" t="n">
        <v>34</v>
      </c>
      <c r="G123" s="21" t="inlineStr">
        <is>
          <t>Adulto</t>
        </is>
      </c>
      <c r="H123" s="21" t="inlineStr">
        <is>
          <t>11:58:00</t>
        </is>
      </c>
      <c r="I123" s="21" t="n">
        <v>4405</v>
      </c>
      <c r="J123" s="21" t="n">
        <v>25</v>
      </c>
      <c r="K123" s="27" t="n">
        <v>4430</v>
      </c>
      <c r="L123" s="22" t="inlineStr">
        <is>
          <t>Felipe Herrera</t>
        </is>
      </c>
    </row>
    <row r="124">
      <c r="A124" s="8" t="n">
        <v>121</v>
      </c>
      <c r="B124" s="24" t="n">
        <v>36</v>
      </c>
      <c r="C124" s="25" t="inlineStr">
        <is>
          <t>Carlos Bernal Cruz</t>
        </is>
      </c>
      <c r="D124" s="8" t="inlineStr">
        <is>
          <t>T4 · VERDE</t>
        </is>
      </c>
      <c r="E124" s="25" t="inlineStr">
        <is>
          <t>Fiebre alta con convulsión</t>
        </is>
      </c>
      <c r="F124" s="24" t="n">
        <v>29</v>
      </c>
      <c r="G124" s="24" t="inlineStr">
        <is>
          <t>Adulto</t>
        </is>
      </c>
      <c r="H124" s="24" t="inlineStr">
        <is>
          <t>13:14:00</t>
        </is>
      </c>
      <c r="I124" s="24" t="n">
        <v>4430</v>
      </c>
      <c r="J124" s="24" t="n">
        <v>25</v>
      </c>
      <c r="K124" s="27" t="n">
        <v>4455</v>
      </c>
      <c r="L124" s="25" t="inlineStr">
        <is>
          <t>Felipe Herrera</t>
        </is>
      </c>
    </row>
    <row r="125">
      <c r="A125" s="8" t="n">
        <v>122</v>
      </c>
      <c r="B125" s="21" t="n">
        <v>144</v>
      </c>
      <c r="C125" s="22" t="inlineStr">
        <is>
          <t>Alejandro Herrera Vargas</t>
        </is>
      </c>
      <c r="D125" s="8" t="inlineStr">
        <is>
          <t>T4 · VERDE</t>
        </is>
      </c>
      <c r="E125" s="22" t="inlineStr">
        <is>
          <t>Fiebre alta con convulsión</t>
        </is>
      </c>
      <c r="F125" s="21" t="n">
        <v>34</v>
      </c>
      <c r="G125" s="21" t="inlineStr">
        <is>
          <t>Adulto</t>
        </is>
      </c>
      <c r="H125" s="21" t="inlineStr">
        <is>
          <t>13:15:00</t>
        </is>
      </c>
      <c r="I125" s="21" t="n">
        <v>4455</v>
      </c>
      <c r="J125" s="21" t="n">
        <v>25</v>
      </c>
      <c r="K125" s="27" t="n">
        <v>4480</v>
      </c>
      <c r="L125" s="22" t="inlineStr">
        <is>
          <t>Sofía Torres</t>
        </is>
      </c>
    </row>
    <row r="126">
      <c r="A126" s="8" t="n">
        <v>123</v>
      </c>
      <c r="B126" s="24" t="n">
        <v>30</v>
      </c>
      <c r="C126" s="25" t="inlineStr">
        <is>
          <t>Sofía Alvarado Bernal</t>
        </is>
      </c>
      <c r="D126" s="8" t="inlineStr">
        <is>
          <t>T4 · VERDE</t>
        </is>
      </c>
      <c r="E126" s="25" t="inlineStr">
        <is>
          <t>Herida con sangrado moderado</t>
        </is>
      </c>
      <c r="F126" s="24" t="n">
        <v>57</v>
      </c>
      <c r="G126" s="24" t="inlineStr">
        <is>
          <t>Adulto</t>
        </is>
      </c>
      <c r="H126" s="24" t="inlineStr">
        <is>
          <t>13:36:00</t>
        </is>
      </c>
      <c r="I126" s="24" t="n">
        <v>4480</v>
      </c>
      <c r="J126" s="24" t="n">
        <v>20</v>
      </c>
      <c r="K126" s="27" t="n">
        <v>4500</v>
      </c>
      <c r="L126" s="25" t="inlineStr">
        <is>
          <t>Andrés Martínez</t>
        </is>
      </c>
    </row>
    <row r="127">
      <c r="A127" s="8" t="n">
        <v>124</v>
      </c>
      <c r="B127" s="21" t="n">
        <v>63</v>
      </c>
      <c r="C127" s="22" t="inlineStr">
        <is>
          <t>Camilo Moreno Ramírez</t>
        </is>
      </c>
      <c r="D127" s="8" t="inlineStr">
        <is>
          <t>T4 · VERDE</t>
        </is>
      </c>
      <c r="E127" s="22" t="inlineStr">
        <is>
          <t>Fiebre alta con convulsión</t>
        </is>
      </c>
      <c r="F127" s="21" t="n">
        <v>36</v>
      </c>
      <c r="G127" s="21" t="inlineStr">
        <is>
          <t>Adulto</t>
        </is>
      </c>
      <c r="H127" s="21" t="inlineStr">
        <is>
          <t>14:07:00</t>
        </is>
      </c>
      <c r="I127" s="21" t="n">
        <v>4500</v>
      </c>
      <c r="J127" s="21" t="n">
        <v>25</v>
      </c>
      <c r="K127" s="27" t="n">
        <v>4525</v>
      </c>
      <c r="L127" s="22" t="inlineStr">
        <is>
          <t>Felipe Herrera</t>
        </is>
      </c>
    </row>
    <row r="128">
      <c r="A128" s="8" t="n">
        <v>125</v>
      </c>
      <c r="B128" s="24" t="n">
        <v>52</v>
      </c>
      <c r="C128" s="25" t="inlineStr">
        <is>
          <t>Isabella Castro Bernal</t>
        </is>
      </c>
      <c r="D128" s="8" t="inlineStr">
        <is>
          <t>T4 · VERDE</t>
        </is>
      </c>
      <c r="E128" s="25" t="inlineStr">
        <is>
          <t>Herida con sangrado moderado</t>
        </is>
      </c>
      <c r="F128" s="24" t="n">
        <v>21</v>
      </c>
      <c r="G128" s="24" t="inlineStr">
        <is>
          <t>Adulto</t>
        </is>
      </c>
      <c r="H128" s="24" t="inlineStr">
        <is>
          <t>14:56:00</t>
        </is>
      </c>
      <c r="I128" s="24" t="n">
        <v>4525</v>
      </c>
      <c r="J128" s="24" t="n">
        <v>20</v>
      </c>
      <c r="K128" s="27" t="n">
        <v>4545</v>
      </c>
      <c r="L128" s="25" t="inlineStr">
        <is>
          <t>Felipe Herrera</t>
        </is>
      </c>
    </row>
    <row r="129">
      <c r="A129" s="8" t="n">
        <v>126</v>
      </c>
      <c r="B129" s="21" t="n">
        <v>150</v>
      </c>
      <c r="C129" s="22" t="inlineStr">
        <is>
          <t>Alejandro Díaz Martínez</t>
        </is>
      </c>
      <c r="D129" s="8" t="inlineStr">
        <is>
          <t>T4 · VERDE</t>
        </is>
      </c>
      <c r="E129" s="22" t="inlineStr">
        <is>
          <t>Fiebre alta con convulsión</t>
        </is>
      </c>
      <c r="F129" s="21" t="n">
        <v>45</v>
      </c>
      <c r="G129" s="21" t="inlineStr">
        <is>
          <t>Adulto</t>
        </is>
      </c>
      <c r="H129" s="21" t="inlineStr">
        <is>
          <t>15:26:00</t>
        </is>
      </c>
      <c r="I129" s="21" t="n">
        <v>4545</v>
      </c>
      <c r="J129" s="21" t="n">
        <v>25</v>
      </c>
      <c r="K129" s="27" t="n">
        <v>4570</v>
      </c>
      <c r="L129" s="22" t="inlineStr">
        <is>
          <t>Carlos Ramírez</t>
        </is>
      </c>
    </row>
    <row r="130">
      <c r="A130" s="8" t="n">
        <v>127</v>
      </c>
      <c r="B130" s="24" t="n">
        <v>10</v>
      </c>
      <c r="C130" s="25" t="inlineStr">
        <is>
          <t>Isabella Cruz Ríos</t>
        </is>
      </c>
      <c r="D130" s="8" t="inlineStr">
        <is>
          <t>T4 · VERDE</t>
        </is>
      </c>
      <c r="E130" s="25" t="inlineStr">
        <is>
          <t>Herida con sangrado moderado</t>
        </is>
      </c>
      <c r="F130" s="24" t="n">
        <v>43</v>
      </c>
      <c r="G130" s="24" t="inlineStr">
        <is>
          <t>Adulto</t>
        </is>
      </c>
      <c r="H130" s="24" t="inlineStr">
        <is>
          <t>17:38:00</t>
        </is>
      </c>
      <c r="I130" s="24" t="n">
        <v>4570</v>
      </c>
      <c r="J130" s="24" t="n">
        <v>20</v>
      </c>
      <c r="K130" s="27" t="n">
        <v>4590</v>
      </c>
      <c r="L130" s="25" t="inlineStr">
        <is>
          <t>Sofía Torres</t>
        </is>
      </c>
    </row>
    <row r="131">
      <c r="A131" s="8" t="n">
        <v>128</v>
      </c>
      <c r="B131" s="21" t="n">
        <v>25</v>
      </c>
      <c r="C131" s="22" t="inlineStr">
        <is>
          <t>Alejandra Medina Ríos</t>
        </is>
      </c>
      <c r="D131" s="8" t="inlineStr">
        <is>
          <t>T4 · VERDE</t>
        </is>
      </c>
      <c r="E131" s="22" t="inlineStr">
        <is>
          <t>Herida con sangrado moderado</t>
        </is>
      </c>
      <c r="F131" s="21" t="n">
        <v>54</v>
      </c>
      <c r="G131" s="21" t="inlineStr">
        <is>
          <t>Adulto</t>
        </is>
      </c>
      <c r="H131" s="21" t="inlineStr">
        <is>
          <t>18:44:00</t>
        </is>
      </c>
      <c r="I131" s="21" t="n">
        <v>4590</v>
      </c>
      <c r="J131" s="21" t="n">
        <v>20</v>
      </c>
      <c r="K131" s="27" t="n">
        <v>4610</v>
      </c>
      <c r="L131" s="22" t="inlineStr">
        <is>
          <t>Felipe Herrera</t>
        </is>
      </c>
    </row>
    <row r="132">
      <c r="A132" s="8" t="n">
        <v>129</v>
      </c>
      <c r="B132" s="24" t="n">
        <v>8</v>
      </c>
      <c r="C132" s="25" t="inlineStr">
        <is>
          <t>María Morales Cárdenas</t>
        </is>
      </c>
      <c r="D132" s="8" t="inlineStr">
        <is>
          <t>T4 · VERDE</t>
        </is>
      </c>
      <c r="E132" s="25" t="inlineStr">
        <is>
          <t>Herida con sangrado moderado</t>
        </is>
      </c>
      <c r="F132" s="24" t="n">
        <v>27</v>
      </c>
      <c r="G132" s="24" t="inlineStr">
        <is>
          <t>Adulto</t>
        </is>
      </c>
      <c r="H132" s="24" t="inlineStr">
        <is>
          <t>18:57:00</t>
        </is>
      </c>
      <c r="I132" s="24" t="n">
        <v>4610</v>
      </c>
      <c r="J132" s="24" t="n">
        <v>20</v>
      </c>
      <c r="K132" s="27" t="n">
        <v>4630</v>
      </c>
      <c r="L132" s="25" t="inlineStr">
        <is>
          <t>Andrés Martínez</t>
        </is>
      </c>
    </row>
    <row r="133">
      <c r="A133" s="10" t="n">
        <v>130</v>
      </c>
      <c r="B133" s="21" t="n">
        <v>75</v>
      </c>
      <c r="C133" s="22" t="inlineStr">
        <is>
          <t>Juan López Pardo</t>
        </is>
      </c>
      <c r="D133" s="10" t="inlineStr">
        <is>
          <t>T5 · AZUL</t>
        </is>
      </c>
      <c r="E133" s="22" t="inlineStr">
        <is>
          <t>Consulta menor (gripe, tos)</t>
        </is>
      </c>
      <c r="F133" s="21" t="n">
        <v>79</v>
      </c>
      <c r="G133" s="21" t="inlineStr">
        <is>
          <t>Anciano</t>
        </is>
      </c>
      <c r="H133" s="21" t="inlineStr">
        <is>
          <t>08:36:00</t>
        </is>
      </c>
      <c r="I133" s="21" t="n">
        <v>4630</v>
      </c>
      <c r="J133" s="21" t="n">
        <v>10</v>
      </c>
      <c r="K133" s="27" t="n">
        <v>4640</v>
      </c>
      <c r="L133" s="22" t="inlineStr">
        <is>
          <t>Carlos Ramírez</t>
        </is>
      </c>
    </row>
    <row r="134">
      <c r="A134" s="10" t="n">
        <v>131</v>
      </c>
      <c r="B134" s="24" t="n">
        <v>105</v>
      </c>
      <c r="C134" s="25" t="inlineStr">
        <is>
          <t>David Muñoz Herrera</t>
        </is>
      </c>
      <c r="D134" s="10" t="inlineStr">
        <is>
          <t>T5 · AZUL</t>
        </is>
      </c>
      <c r="E134" s="25" t="inlineStr">
        <is>
          <t>Consulta menor (gripe, tos)</t>
        </is>
      </c>
      <c r="F134" s="24" t="n">
        <v>80</v>
      </c>
      <c r="G134" s="24" t="inlineStr">
        <is>
          <t>Anciano</t>
        </is>
      </c>
      <c r="H134" s="24" t="inlineStr">
        <is>
          <t>11:42:00</t>
        </is>
      </c>
      <c r="I134" s="24" t="n">
        <v>4640</v>
      </c>
      <c r="J134" s="24" t="n">
        <v>10</v>
      </c>
      <c r="K134" s="27" t="n">
        <v>4650</v>
      </c>
      <c r="L134" s="25" t="inlineStr">
        <is>
          <t>Carlos Ramírez</t>
        </is>
      </c>
    </row>
    <row r="135">
      <c r="A135" s="10" t="n">
        <v>132</v>
      </c>
      <c r="B135" s="21" t="n">
        <v>128</v>
      </c>
      <c r="C135" s="22" t="inlineStr">
        <is>
          <t>Luis Martínez Ospina</t>
        </is>
      </c>
      <c r="D135" s="10" t="inlineStr">
        <is>
          <t>T5 · AZUL</t>
        </is>
      </c>
      <c r="E135" s="22" t="inlineStr">
        <is>
          <t>Dolor leve / Malestar general</t>
        </is>
      </c>
      <c r="F135" s="21" t="n">
        <v>77</v>
      </c>
      <c r="G135" s="21" t="inlineStr">
        <is>
          <t>Anciano</t>
        </is>
      </c>
      <c r="H135" s="21" t="inlineStr">
        <is>
          <t>14:04:00</t>
        </is>
      </c>
      <c r="I135" s="21" t="n">
        <v>4650</v>
      </c>
      <c r="J135" s="21" t="n">
        <v>15</v>
      </c>
      <c r="K135" s="27" t="n">
        <v>4665</v>
      </c>
      <c r="L135" s="22" t="inlineStr">
        <is>
          <t>Andrés Martínez</t>
        </is>
      </c>
    </row>
    <row r="136">
      <c r="A136" s="10" t="n">
        <v>133</v>
      </c>
      <c r="B136" s="24" t="n">
        <v>124</v>
      </c>
      <c r="C136" s="25" t="inlineStr">
        <is>
          <t>Daniel Pardo Martínez</t>
        </is>
      </c>
      <c r="D136" s="10" t="inlineStr">
        <is>
          <t>T5 · AZUL</t>
        </is>
      </c>
      <c r="E136" s="25" t="inlineStr">
        <is>
          <t>Consulta menor (gripe, tos)</t>
        </is>
      </c>
      <c r="F136" s="24" t="n">
        <v>78</v>
      </c>
      <c r="G136" s="24" t="inlineStr">
        <is>
          <t>Anciano</t>
        </is>
      </c>
      <c r="H136" s="24" t="inlineStr">
        <is>
          <t>19:08:00</t>
        </is>
      </c>
      <c r="I136" s="24" t="n">
        <v>4665</v>
      </c>
      <c r="J136" s="24" t="n">
        <v>10</v>
      </c>
      <c r="K136" s="27" t="n">
        <v>4675</v>
      </c>
      <c r="L136" s="25" t="inlineStr">
        <is>
          <t>Carlos Ramírez</t>
        </is>
      </c>
    </row>
    <row r="137">
      <c r="A137" s="10" t="n">
        <v>134</v>
      </c>
      <c r="B137" s="21" t="n">
        <v>121</v>
      </c>
      <c r="C137" s="22" t="inlineStr">
        <is>
          <t>Jorge Cárdenas López</t>
        </is>
      </c>
      <c r="D137" s="10" t="inlineStr">
        <is>
          <t>T5 · AZUL</t>
        </is>
      </c>
      <c r="E137" s="22" t="inlineStr">
        <is>
          <t>Consulta menor (gripe, tos)</t>
        </is>
      </c>
      <c r="F137" s="21" t="n">
        <v>81</v>
      </c>
      <c r="G137" s="21" t="inlineStr">
        <is>
          <t>Anciano</t>
        </is>
      </c>
      <c r="H137" s="21" t="inlineStr">
        <is>
          <t>20:30:00</t>
        </is>
      </c>
      <c r="I137" s="21" t="n">
        <v>4675</v>
      </c>
      <c r="J137" s="21" t="n">
        <v>10</v>
      </c>
      <c r="K137" s="27" t="n">
        <v>4685</v>
      </c>
      <c r="L137" s="22" t="inlineStr">
        <is>
          <t>Sofía Torres</t>
        </is>
      </c>
    </row>
    <row r="138">
      <c r="A138" s="10" t="n">
        <v>135</v>
      </c>
      <c r="B138" s="24" t="n">
        <v>28</v>
      </c>
      <c r="C138" s="25" t="inlineStr">
        <is>
          <t>Juliana Herrera Alvarado</t>
        </is>
      </c>
      <c r="D138" s="10" t="inlineStr">
        <is>
          <t>T5 · AZUL</t>
        </is>
      </c>
      <c r="E138" s="25" t="inlineStr">
        <is>
          <t>Dolor leve / Malestar general</t>
        </is>
      </c>
      <c r="F138" s="24" t="n">
        <v>60</v>
      </c>
      <c r="G138" s="24" t="inlineStr">
        <is>
          <t>Adulto mayor</t>
        </is>
      </c>
      <c r="H138" s="24" t="inlineStr">
        <is>
          <t>07:14:00</t>
        </is>
      </c>
      <c r="I138" s="24" t="n">
        <v>4685</v>
      </c>
      <c r="J138" s="24" t="n">
        <v>15</v>
      </c>
      <c r="K138" s="27" t="n">
        <v>4700</v>
      </c>
      <c r="L138" s="25" t="inlineStr">
        <is>
          <t>Laura Gómez</t>
        </is>
      </c>
    </row>
    <row r="139">
      <c r="A139" s="10" t="n">
        <v>136</v>
      </c>
      <c r="B139" s="21" t="n">
        <v>34</v>
      </c>
      <c r="C139" s="22" t="inlineStr">
        <is>
          <t>Natalia Rodríguez Muñoz</t>
        </is>
      </c>
      <c r="D139" s="10" t="inlineStr">
        <is>
          <t>T5 · AZUL</t>
        </is>
      </c>
      <c r="E139" s="22" t="inlineStr">
        <is>
          <t>Dolor leve / Malestar general</t>
        </is>
      </c>
      <c r="F139" s="21" t="n">
        <v>63</v>
      </c>
      <c r="G139" s="21" t="inlineStr">
        <is>
          <t>Adulto mayor</t>
        </is>
      </c>
      <c r="H139" s="21" t="inlineStr">
        <is>
          <t>07:31:00</t>
        </is>
      </c>
      <c r="I139" s="21" t="n">
        <v>4700</v>
      </c>
      <c r="J139" s="21" t="n">
        <v>15</v>
      </c>
      <c r="K139" s="27" t="n">
        <v>4715</v>
      </c>
      <c r="L139" s="22" t="inlineStr">
        <is>
          <t>Carlos Ramírez</t>
        </is>
      </c>
    </row>
    <row r="140">
      <c r="A140" s="10" t="n">
        <v>137</v>
      </c>
      <c r="B140" s="24" t="n">
        <v>143</v>
      </c>
      <c r="C140" s="25" t="inlineStr">
        <is>
          <t>Mariana Herrera Moreno</t>
        </is>
      </c>
      <c r="D140" s="10" t="inlineStr">
        <is>
          <t>T5 · AZUL</t>
        </is>
      </c>
      <c r="E140" s="25" t="inlineStr">
        <is>
          <t>Consulta menor (gripe, tos)</t>
        </is>
      </c>
      <c r="F140" s="24" t="n">
        <v>67</v>
      </c>
      <c r="G140" s="24" t="inlineStr">
        <is>
          <t>Adulto mayor</t>
        </is>
      </c>
      <c r="H140" s="24" t="inlineStr">
        <is>
          <t>07:45:00</t>
        </is>
      </c>
      <c r="I140" s="24" t="n">
        <v>4715</v>
      </c>
      <c r="J140" s="24" t="n">
        <v>10</v>
      </c>
      <c r="K140" s="27" t="n">
        <v>4725</v>
      </c>
      <c r="L140" s="25" t="inlineStr">
        <is>
          <t>Sofía Torres</t>
        </is>
      </c>
    </row>
    <row r="141">
      <c r="A141" s="10" t="n">
        <v>138</v>
      </c>
      <c r="B141" s="21" t="n">
        <v>58</v>
      </c>
      <c r="C141" s="22" t="inlineStr">
        <is>
          <t>Daniel Alvarado Gómez</t>
        </is>
      </c>
      <c r="D141" s="10" t="inlineStr">
        <is>
          <t>T5 · AZUL</t>
        </is>
      </c>
      <c r="E141" s="22" t="inlineStr">
        <is>
          <t>Dolor leve / Malestar general</t>
        </is>
      </c>
      <c r="F141" s="21" t="n">
        <v>73</v>
      </c>
      <c r="G141" s="21" t="inlineStr">
        <is>
          <t>Adulto mayor</t>
        </is>
      </c>
      <c r="H141" s="21" t="inlineStr">
        <is>
          <t>07:56:00</t>
        </is>
      </c>
      <c r="I141" s="21" t="n">
        <v>4725</v>
      </c>
      <c r="J141" s="21" t="n">
        <v>15</v>
      </c>
      <c r="K141" s="27" t="n">
        <v>4740</v>
      </c>
      <c r="L141" s="22" t="inlineStr">
        <is>
          <t>Felipe Herrera</t>
        </is>
      </c>
    </row>
    <row r="142">
      <c r="A142" s="10" t="n">
        <v>139</v>
      </c>
      <c r="B142" s="24" t="n">
        <v>62</v>
      </c>
      <c r="C142" s="25" t="inlineStr">
        <is>
          <t>Alejandro García Martínez</t>
        </is>
      </c>
      <c r="D142" s="10" t="inlineStr">
        <is>
          <t>T5 · AZUL</t>
        </is>
      </c>
      <c r="E142" s="25" t="inlineStr">
        <is>
          <t>Dolor leve / Malestar general</t>
        </is>
      </c>
      <c r="F142" s="24" t="n">
        <v>68</v>
      </c>
      <c r="G142" s="24" t="inlineStr">
        <is>
          <t>Adulto mayor</t>
        </is>
      </c>
      <c r="H142" s="24" t="inlineStr">
        <is>
          <t>08:39:00</t>
        </is>
      </c>
      <c r="I142" s="24" t="n">
        <v>4740</v>
      </c>
      <c r="J142" s="24" t="n">
        <v>15</v>
      </c>
      <c r="K142" s="27" t="n">
        <v>4755</v>
      </c>
      <c r="L142" s="25" t="inlineStr">
        <is>
          <t>Laura Gómez</t>
        </is>
      </c>
    </row>
    <row r="143">
      <c r="A143" s="10" t="n">
        <v>140</v>
      </c>
      <c r="B143" s="21" t="n">
        <v>135</v>
      </c>
      <c r="C143" s="22" t="inlineStr">
        <is>
          <t>Alejandra Morales Moreno</t>
        </is>
      </c>
      <c r="D143" s="10" t="inlineStr">
        <is>
          <t>T5 · AZUL</t>
        </is>
      </c>
      <c r="E143" s="22" t="inlineStr">
        <is>
          <t>Dolor leve / Malestar general</t>
        </is>
      </c>
      <c r="F143" s="21" t="n">
        <v>70</v>
      </c>
      <c r="G143" s="21" t="inlineStr">
        <is>
          <t>Adulto mayor</t>
        </is>
      </c>
      <c r="H143" s="21" t="inlineStr">
        <is>
          <t>14:40:00</t>
        </is>
      </c>
      <c r="I143" s="21" t="n">
        <v>4755</v>
      </c>
      <c r="J143" s="21" t="n">
        <v>15</v>
      </c>
      <c r="K143" s="27" t="n">
        <v>4770</v>
      </c>
      <c r="L143" s="22" t="inlineStr">
        <is>
          <t>Felipe Herrera</t>
        </is>
      </c>
    </row>
    <row r="144">
      <c r="A144" s="10" t="n">
        <v>141</v>
      </c>
      <c r="B144" s="24" t="n">
        <v>6</v>
      </c>
      <c r="C144" s="25" t="inlineStr">
        <is>
          <t>Andrés Torres Herrera</t>
        </is>
      </c>
      <c r="D144" s="10" t="inlineStr">
        <is>
          <t>T5 · AZUL</t>
        </is>
      </c>
      <c r="E144" s="25" t="inlineStr">
        <is>
          <t>Consulta menor (gripe, tos)</t>
        </is>
      </c>
      <c r="F144" s="24" t="n">
        <v>20</v>
      </c>
      <c r="G144" s="24" t="inlineStr">
        <is>
          <t>Adulto</t>
        </is>
      </c>
      <c r="H144" s="24" t="inlineStr">
        <is>
          <t>07:37:00</t>
        </is>
      </c>
      <c r="I144" s="24" t="n">
        <v>4770</v>
      </c>
      <c r="J144" s="24" t="n">
        <v>10</v>
      </c>
      <c r="K144" s="27" t="n">
        <v>4780</v>
      </c>
      <c r="L144" s="25" t="inlineStr">
        <is>
          <t>Sofía Torres</t>
        </is>
      </c>
    </row>
    <row r="145">
      <c r="A145" s="10" t="n">
        <v>142</v>
      </c>
      <c r="B145" s="21" t="n">
        <v>85</v>
      </c>
      <c r="C145" s="22" t="inlineStr">
        <is>
          <t>Mariana Gómez Bernal</t>
        </is>
      </c>
      <c r="D145" s="10" t="inlineStr">
        <is>
          <t>T5 · AZUL</t>
        </is>
      </c>
      <c r="E145" s="22" t="inlineStr">
        <is>
          <t>Consulta menor (gripe, tos)</t>
        </is>
      </c>
      <c r="F145" s="21" t="n">
        <v>54</v>
      </c>
      <c r="G145" s="21" t="inlineStr">
        <is>
          <t>Adulto</t>
        </is>
      </c>
      <c r="H145" s="21" t="inlineStr">
        <is>
          <t>08:13:00</t>
        </is>
      </c>
      <c r="I145" s="21" t="n">
        <v>4780</v>
      </c>
      <c r="J145" s="21" t="n">
        <v>10</v>
      </c>
      <c r="K145" s="27" t="n">
        <v>4790</v>
      </c>
      <c r="L145" s="22" t="inlineStr">
        <is>
          <t>Carlos Ramírez</t>
        </is>
      </c>
    </row>
    <row r="146">
      <c r="A146" s="10" t="n">
        <v>143</v>
      </c>
      <c r="B146" s="24" t="n">
        <v>122</v>
      </c>
      <c r="C146" s="25" t="inlineStr">
        <is>
          <t>Mariana Medina Pardo</t>
        </is>
      </c>
      <c r="D146" s="10" t="inlineStr">
        <is>
          <t>T5 · AZUL</t>
        </is>
      </c>
      <c r="E146" s="25" t="inlineStr">
        <is>
          <t>Consulta menor (gripe, tos)</t>
        </is>
      </c>
      <c r="F146" s="24" t="n">
        <v>38</v>
      </c>
      <c r="G146" s="24" t="inlineStr">
        <is>
          <t>Adulto</t>
        </is>
      </c>
      <c r="H146" s="24" t="inlineStr">
        <is>
          <t>08:19:00</t>
        </is>
      </c>
      <c r="I146" s="24" t="n">
        <v>4790</v>
      </c>
      <c r="J146" s="24" t="n">
        <v>10</v>
      </c>
      <c r="K146" s="27" t="n">
        <v>4800</v>
      </c>
      <c r="L146" s="25" t="inlineStr">
        <is>
          <t>Laura Gómez</t>
        </is>
      </c>
    </row>
    <row r="147">
      <c r="A147" s="10" t="n">
        <v>144</v>
      </c>
      <c r="B147" s="21" t="n">
        <v>117</v>
      </c>
      <c r="C147" s="22" t="inlineStr">
        <is>
          <t>Luis Medina Sánchez</t>
        </is>
      </c>
      <c r="D147" s="10" t="inlineStr">
        <is>
          <t>T5 · AZUL</t>
        </is>
      </c>
      <c r="E147" s="22" t="inlineStr">
        <is>
          <t>Dolor leve / Malestar general</t>
        </is>
      </c>
      <c r="F147" s="21" t="n">
        <v>16</v>
      </c>
      <c r="G147" s="21" t="inlineStr">
        <is>
          <t>Menor de edad</t>
        </is>
      </c>
      <c r="H147" s="21" t="inlineStr">
        <is>
          <t>09:17:00</t>
        </is>
      </c>
      <c r="I147" s="21" t="n">
        <v>4800</v>
      </c>
      <c r="J147" s="21" t="n">
        <v>15</v>
      </c>
      <c r="K147" s="27" t="n">
        <v>4815</v>
      </c>
      <c r="L147" s="22" t="inlineStr">
        <is>
          <t>Sofía Torres</t>
        </is>
      </c>
    </row>
    <row r="148">
      <c r="A148" s="10" t="n">
        <v>145</v>
      </c>
      <c r="B148" s="24" t="n">
        <v>61</v>
      </c>
      <c r="C148" s="25" t="inlineStr">
        <is>
          <t>Daniel Jiménez Jiménez</t>
        </is>
      </c>
      <c r="D148" s="10" t="inlineStr">
        <is>
          <t>T5 · AZUL</t>
        </is>
      </c>
      <c r="E148" s="25" t="inlineStr">
        <is>
          <t>Consulta menor (gripe, tos)</t>
        </is>
      </c>
      <c r="F148" s="24" t="n">
        <v>39</v>
      </c>
      <c r="G148" s="24" t="inlineStr">
        <is>
          <t>Adulto</t>
        </is>
      </c>
      <c r="H148" s="24" t="inlineStr">
        <is>
          <t>10:40:00</t>
        </is>
      </c>
      <c r="I148" s="24" t="n">
        <v>4815</v>
      </c>
      <c r="J148" s="24" t="n">
        <v>10</v>
      </c>
      <c r="K148" s="27" t="n">
        <v>4825</v>
      </c>
      <c r="L148" s="25" t="inlineStr">
        <is>
          <t>Laura Gómez</t>
        </is>
      </c>
    </row>
    <row r="149">
      <c r="A149" s="10" t="n">
        <v>146</v>
      </c>
      <c r="B149" s="21" t="n">
        <v>68</v>
      </c>
      <c r="C149" s="22" t="inlineStr">
        <is>
          <t>Alejandra Gómez Rodríguez</t>
        </is>
      </c>
      <c r="D149" s="10" t="inlineStr">
        <is>
          <t>T5 · AZUL</t>
        </is>
      </c>
      <c r="E149" s="22" t="inlineStr">
        <is>
          <t>Consulta menor (gripe, tos)</t>
        </is>
      </c>
      <c r="F149" s="21" t="n">
        <v>54</v>
      </c>
      <c r="G149" s="21" t="inlineStr">
        <is>
          <t>Adulto</t>
        </is>
      </c>
      <c r="H149" s="21" t="inlineStr">
        <is>
          <t>13:22:00</t>
        </is>
      </c>
      <c r="I149" s="21" t="n">
        <v>4825</v>
      </c>
      <c r="J149" s="21" t="n">
        <v>10</v>
      </c>
      <c r="K149" s="27" t="n">
        <v>4835</v>
      </c>
      <c r="L149" s="22" t="inlineStr">
        <is>
          <t>Andrés Martínez</t>
        </is>
      </c>
    </row>
    <row r="150">
      <c r="A150" s="10" t="n">
        <v>147</v>
      </c>
      <c r="B150" s="24" t="n">
        <v>149</v>
      </c>
      <c r="C150" s="25" t="inlineStr">
        <is>
          <t>Daniela Sánchez Muñoz</t>
        </is>
      </c>
      <c r="D150" s="10" t="inlineStr">
        <is>
          <t>T5 · AZUL</t>
        </is>
      </c>
      <c r="E150" s="25" t="inlineStr">
        <is>
          <t>Consulta menor (gripe, tos)</t>
        </is>
      </c>
      <c r="F150" s="24" t="n">
        <v>23</v>
      </c>
      <c r="G150" s="24" t="inlineStr">
        <is>
          <t>Adulto</t>
        </is>
      </c>
      <c r="H150" s="24" t="inlineStr">
        <is>
          <t>15:10:00</t>
        </is>
      </c>
      <c r="I150" s="24" t="n">
        <v>4835</v>
      </c>
      <c r="J150" s="24" t="n">
        <v>10</v>
      </c>
      <c r="K150" s="27" t="n">
        <v>4845</v>
      </c>
      <c r="L150" s="25" t="inlineStr">
        <is>
          <t>Carlos Ramírez</t>
        </is>
      </c>
    </row>
    <row r="151">
      <c r="A151" s="10" t="n">
        <v>148</v>
      </c>
      <c r="B151" s="21" t="n">
        <v>4</v>
      </c>
      <c r="C151" s="22" t="inlineStr">
        <is>
          <t>Carlos Torres Ramírez</t>
        </is>
      </c>
      <c r="D151" s="10" t="inlineStr">
        <is>
          <t>T5 · AZUL</t>
        </is>
      </c>
      <c r="E151" s="22" t="inlineStr">
        <is>
          <t>Dolor leve / Malestar general</t>
        </is>
      </c>
      <c r="F151" s="21" t="n">
        <v>54</v>
      </c>
      <c r="G151" s="21" t="inlineStr">
        <is>
          <t>Adulto</t>
        </is>
      </c>
      <c r="H151" s="21" t="inlineStr">
        <is>
          <t>15:20:00</t>
        </is>
      </c>
      <c r="I151" s="21" t="n">
        <v>4845</v>
      </c>
      <c r="J151" s="21" t="n">
        <v>15</v>
      </c>
      <c r="K151" s="27" t="n">
        <v>4860</v>
      </c>
      <c r="L151" s="22" t="inlineStr">
        <is>
          <t>Andrés Martínez</t>
        </is>
      </c>
    </row>
    <row r="152">
      <c r="A152" s="10" t="n">
        <v>149</v>
      </c>
      <c r="B152" s="24" t="n">
        <v>96</v>
      </c>
      <c r="C152" s="25" t="inlineStr">
        <is>
          <t>Santiago Reyes Pardo</t>
        </is>
      </c>
      <c r="D152" s="10" t="inlineStr">
        <is>
          <t>T5 · AZUL</t>
        </is>
      </c>
      <c r="E152" s="25" t="inlineStr">
        <is>
          <t>Dolor leve / Malestar general</t>
        </is>
      </c>
      <c r="F152" s="24" t="n">
        <v>27</v>
      </c>
      <c r="G152" s="24" t="inlineStr">
        <is>
          <t>Adulto</t>
        </is>
      </c>
      <c r="H152" s="24" t="inlineStr">
        <is>
          <t>16:26:00</t>
        </is>
      </c>
      <c r="I152" s="24" t="n">
        <v>4860</v>
      </c>
      <c r="J152" s="24" t="n">
        <v>15</v>
      </c>
      <c r="K152" s="27" t="n">
        <v>4875</v>
      </c>
      <c r="L152" s="25" t="inlineStr">
        <is>
          <t>Carlos Ramírez</t>
        </is>
      </c>
    </row>
    <row r="153">
      <c r="A153" s="10" t="n">
        <v>150</v>
      </c>
      <c r="B153" s="21" t="n">
        <v>140</v>
      </c>
      <c r="C153" s="22" t="inlineStr">
        <is>
          <t>Jorge Sánchez Cruz</t>
        </is>
      </c>
      <c r="D153" s="10" t="inlineStr">
        <is>
          <t>T5 · AZUL</t>
        </is>
      </c>
      <c r="E153" s="22" t="inlineStr">
        <is>
          <t>Dolor leve / Malestar general</t>
        </is>
      </c>
      <c r="F153" s="21" t="n">
        <v>40</v>
      </c>
      <c r="G153" s="21" t="inlineStr">
        <is>
          <t>Adulto</t>
        </is>
      </c>
      <c r="H153" s="21" t="inlineStr">
        <is>
          <t>20:01:00</t>
        </is>
      </c>
      <c r="I153" s="21" t="n">
        <v>4875</v>
      </c>
      <c r="J153" s="21" t="n">
        <v>15</v>
      </c>
      <c r="K153" s="27" t="n">
        <v>4890</v>
      </c>
      <c r="L153" s="22" t="inlineStr">
        <is>
          <t>Laura Gómez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3" customWidth="1" min="5" max="5"/>
    <col width="11" customWidth="1" min="6" max="6"/>
    <col width="10" customWidth="1" min="7" max="7"/>
    <col width="10" customWidth="1" min="8" max="8"/>
  </cols>
  <sheetData>
    <row r="1">
      <c r="A1" s="12" t="inlineStr">
        <is>
          <t>⏰ ANÁLISIS DE HORAS PICO — DISTRIBUCIÓN TEMPORAL DE LLEGADAS</t>
        </is>
      </c>
    </row>
    <row r="3">
      <c r="A3" s="15" t="inlineStr">
        <is>
          <t>LLEGADAS POR HORA DEL DÍA</t>
        </is>
      </c>
    </row>
    <row r="4">
      <c r="A4" s="3" t="inlineStr">
        <is>
          <t>HORA</t>
        </is>
      </c>
      <c r="B4" s="3" t="inlineStr">
        <is>
          <t>TOTAL</t>
        </is>
      </c>
      <c r="C4" s="3" t="inlineStr">
        <is>
          <t>T1 ROJO</t>
        </is>
      </c>
      <c r="D4" s="3" t="inlineStr">
        <is>
          <t>T2 NARANJA</t>
        </is>
      </c>
      <c r="E4" s="3" t="inlineStr">
        <is>
          <t>T3 AMARILLO</t>
        </is>
      </c>
      <c r="F4" s="3" t="inlineStr">
        <is>
          <t>T4 VERDE</t>
        </is>
      </c>
      <c r="G4" s="3" t="inlineStr">
        <is>
          <t>T5 AZUL</t>
        </is>
      </c>
      <c r="H4" s="3" t="inlineStr">
        <is>
          <t>% DEL DÍA</t>
        </is>
      </c>
    </row>
    <row r="5">
      <c r="A5" s="28" t="inlineStr">
        <is>
          <t>06:00 - 07:00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inlineStr">
        <is>
          <t>0.0%</t>
        </is>
      </c>
    </row>
    <row r="6">
      <c r="A6" s="29" t="inlineStr">
        <is>
          <t>07:00 - 08:00</t>
        </is>
      </c>
      <c r="B6" s="30" t="n">
        <v>16</v>
      </c>
      <c r="C6" s="31" t="n">
        <v>2</v>
      </c>
      <c r="D6" s="32" t="n">
        <v>1</v>
      </c>
      <c r="E6" s="33" t="n">
        <v>3</v>
      </c>
      <c r="F6" s="34" t="n">
        <v>5</v>
      </c>
      <c r="G6" s="24" t="n">
        <v>5</v>
      </c>
      <c r="H6" s="35" t="inlineStr">
        <is>
          <t>10.7%</t>
        </is>
      </c>
    </row>
    <row r="7">
      <c r="A7" s="29" t="inlineStr">
        <is>
          <t>08:00 - 09:00</t>
        </is>
      </c>
      <c r="B7" s="30" t="n">
        <v>15</v>
      </c>
      <c r="C7" s="36" t="n">
        <v>0</v>
      </c>
      <c r="D7" s="32" t="n">
        <v>3</v>
      </c>
      <c r="E7" s="33" t="n">
        <v>4</v>
      </c>
      <c r="F7" s="34" t="n">
        <v>4</v>
      </c>
      <c r="G7" s="24" t="n">
        <v>4</v>
      </c>
      <c r="H7" s="35" t="inlineStr">
        <is>
          <t>10.0%</t>
        </is>
      </c>
    </row>
    <row r="8">
      <c r="A8" s="29" t="inlineStr">
        <is>
          <t>09:00 - 10:00</t>
        </is>
      </c>
      <c r="B8" s="30" t="n">
        <v>8</v>
      </c>
      <c r="C8" s="31" t="n">
        <v>1</v>
      </c>
      <c r="D8" s="36" t="n">
        <v>0</v>
      </c>
      <c r="E8" s="33" t="n">
        <v>4</v>
      </c>
      <c r="F8" s="34" t="n">
        <v>2</v>
      </c>
      <c r="G8" s="24" t="n">
        <v>1</v>
      </c>
      <c r="H8" s="35" t="inlineStr">
        <is>
          <t>5.3%</t>
        </is>
      </c>
    </row>
    <row r="9">
      <c r="A9" s="29" t="inlineStr">
        <is>
          <t>10:00 - 11:00</t>
        </is>
      </c>
      <c r="B9" s="30" t="n">
        <v>11</v>
      </c>
      <c r="C9" s="31" t="n">
        <v>1</v>
      </c>
      <c r="D9" s="32" t="n">
        <v>2</v>
      </c>
      <c r="E9" s="33" t="n">
        <v>2</v>
      </c>
      <c r="F9" s="34" t="n">
        <v>5</v>
      </c>
      <c r="G9" s="24" t="n">
        <v>1</v>
      </c>
      <c r="H9" s="35" t="inlineStr">
        <is>
          <t>7.3%</t>
        </is>
      </c>
    </row>
    <row r="10">
      <c r="A10" s="29" t="inlineStr">
        <is>
          <t>11:00 - 12:00</t>
        </is>
      </c>
      <c r="B10" s="30" t="n">
        <v>10</v>
      </c>
      <c r="C10" s="31" t="n">
        <v>1</v>
      </c>
      <c r="D10" s="36" t="n">
        <v>0</v>
      </c>
      <c r="E10" s="33" t="n">
        <v>5</v>
      </c>
      <c r="F10" s="34" t="n">
        <v>3</v>
      </c>
      <c r="G10" s="24" t="n">
        <v>1</v>
      </c>
      <c r="H10" s="35" t="inlineStr">
        <is>
          <t>6.7%</t>
        </is>
      </c>
    </row>
    <row r="11">
      <c r="A11" s="29" t="inlineStr">
        <is>
          <t>12:00 - 13:00</t>
        </is>
      </c>
      <c r="B11" s="30" t="n">
        <v>16</v>
      </c>
      <c r="C11" s="36" t="n">
        <v>0</v>
      </c>
      <c r="D11" s="32" t="n">
        <v>6</v>
      </c>
      <c r="E11" s="33" t="n">
        <v>7</v>
      </c>
      <c r="F11" s="34" t="n">
        <v>3</v>
      </c>
      <c r="G11" s="36" t="n">
        <v>0</v>
      </c>
      <c r="H11" s="35" t="inlineStr">
        <is>
          <t>10.7%</t>
        </is>
      </c>
    </row>
    <row r="12">
      <c r="A12" s="29" t="inlineStr">
        <is>
          <t>13:00 - 14:00</t>
        </is>
      </c>
      <c r="B12" s="30" t="n">
        <v>12</v>
      </c>
      <c r="C12" s="31" t="n">
        <v>1</v>
      </c>
      <c r="D12" s="32" t="n">
        <v>4</v>
      </c>
      <c r="E12" s="33" t="n">
        <v>2</v>
      </c>
      <c r="F12" s="34" t="n">
        <v>4</v>
      </c>
      <c r="G12" s="24" t="n">
        <v>1</v>
      </c>
      <c r="H12" s="35" t="inlineStr">
        <is>
          <t>8.0%</t>
        </is>
      </c>
    </row>
    <row r="13">
      <c r="A13" s="29" t="inlineStr">
        <is>
          <t>14:00 - 15:00</t>
        </is>
      </c>
      <c r="B13" s="30" t="n">
        <v>16</v>
      </c>
      <c r="C13" s="31" t="n">
        <v>1</v>
      </c>
      <c r="D13" s="32" t="n">
        <v>1</v>
      </c>
      <c r="E13" s="33" t="n">
        <v>8</v>
      </c>
      <c r="F13" s="34" t="n">
        <v>4</v>
      </c>
      <c r="G13" s="24" t="n">
        <v>2</v>
      </c>
      <c r="H13" s="35" t="inlineStr">
        <is>
          <t>10.7%</t>
        </is>
      </c>
    </row>
    <row r="14">
      <c r="A14" s="29" t="inlineStr">
        <is>
          <t>15:00 - 16:00</t>
        </is>
      </c>
      <c r="B14" s="30" t="n">
        <v>13</v>
      </c>
      <c r="C14" s="31" t="n">
        <v>2</v>
      </c>
      <c r="D14" s="32" t="n">
        <v>1</v>
      </c>
      <c r="E14" s="33" t="n">
        <v>5</v>
      </c>
      <c r="F14" s="34" t="n">
        <v>3</v>
      </c>
      <c r="G14" s="24" t="n">
        <v>2</v>
      </c>
      <c r="H14" s="35" t="inlineStr">
        <is>
          <t>8.7%</t>
        </is>
      </c>
    </row>
    <row r="15">
      <c r="A15" s="29" t="inlineStr">
        <is>
          <t>16:00 - 17:00</t>
        </is>
      </c>
      <c r="B15" s="30" t="n">
        <v>6</v>
      </c>
      <c r="C15" s="31" t="n">
        <v>1</v>
      </c>
      <c r="D15" s="32" t="n">
        <v>1</v>
      </c>
      <c r="E15" s="33" t="n">
        <v>3</v>
      </c>
      <c r="F15" s="36" t="n">
        <v>0</v>
      </c>
      <c r="G15" s="24" t="n">
        <v>1</v>
      </c>
      <c r="H15" s="35" t="inlineStr">
        <is>
          <t>4.0%</t>
        </is>
      </c>
    </row>
    <row r="16">
      <c r="A16" s="29" t="inlineStr">
        <is>
          <t>17:00 - 18:00</t>
        </is>
      </c>
      <c r="B16" s="30" t="n">
        <v>7</v>
      </c>
      <c r="C16" s="31" t="n">
        <v>1</v>
      </c>
      <c r="D16" s="32" t="n">
        <v>2</v>
      </c>
      <c r="E16" s="33" t="n">
        <v>3</v>
      </c>
      <c r="F16" s="34" t="n">
        <v>1</v>
      </c>
      <c r="G16" s="36" t="n">
        <v>0</v>
      </c>
      <c r="H16" s="35" t="inlineStr">
        <is>
          <t>4.7%</t>
        </is>
      </c>
    </row>
    <row r="17">
      <c r="A17" s="29" t="inlineStr">
        <is>
          <t>18:00 - 19:00</t>
        </is>
      </c>
      <c r="B17" s="30" t="n">
        <v>7</v>
      </c>
      <c r="C17" s="31" t="n">
        <v>2</v>
      </c>
      <c r="D17" s="32" t="n">
        <v>1</v>
      </c>
      <c r="E17" s="33" t="n">
        <v>2</v>
      </c>
      <c r="F17" s="34" t="n">
        <v>2</v>
      </c>
      <c r="G17" s="36" t="n">
        <v>0</v>
      </c>
      <c r="H17" s="35" t="inlineStr">
        <is>
          <t>4.7%</t>
        </is>
      </c>
    </row>
    <row r="18">
      <c r="A18" s="29" t="inlineStr">
        <is>
          <t>19:00 - 20:00</t>
        </is>
      </c>
      <c r="B18" s="30" t="n">
        <v>5</v>
      </c>
      <c r="C18" s="36" t="n">
        <v>0</v>
      </c>
      <c r="D18" s="32" t="n">
        <v>1</v>
      </c>
      <c r="E18" s="33" t="n">
        <v>3</v>
      </c>
      <c r="F18" s="36" t="n">
        <v>0</v>
      </c>
      <c r="G18" s="24" t="n">
        <v>1</v>
      </c>
      <c r="H18" s="35" t="inlineStr">
        <is>
          <t>3.3%</t>
        </is>
      </c>
    </row>
    <row r="19">
      <c r="A19" s="29" t="inlineStr">
        <is>
          <t>20:00 - 21:00</t>
        </is>
      </c>
      <c r="B19" s="30" t="n">
        <v>8</v>
      </c>
      <c r="C19" s="36" t="n">
        <v>0</v>
      </c>
      <c r="D19" s="32" t="n">
        <v>1</v>
      </c>
      <c r="E19" s="33" t="n">
        <v>3</v>
      </c>
      <c r="F19" s="34" t="n">
        <v>2</v>
      </c>
      <c r="G19" s="24" t="n">
        <v>2</v>
      </c>
      <c r="H19" s="35" t="inlineStr">
        <is>
          <t>5.3%</t>
        </is>
      </c>
    </row>
    <row r="20">
      <c r="A20" s="28" t="inlineStr">
        <is>
          <t>21:00 - 22:00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inlineStr">
        <is>
          <t>0.0%</t>
        </is>
      </c>
    </row>
    <row r="21">
      <c r="A21" s="28" t="inlineStr">
        <is>
          <t>22:00 - 23:00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inlineStr">
        <is>
          <t>0.0%</t>
        </is>
      </c>
    </row>
    <row r="22">
      <c r="A22" s="37" t="inlineStr">
        <is>
          <t>TOTAL</t>
        </is>
      </c>
      <c r="B22" s="38">
        <f>SUM(B5:B21)</f>
        <v/>
      </c>
      <c r="C22" s="38">
        <f>SUM(C5:C21)</f>
        <v/>
      </c>
      <c r="D22" s="38">
        <f>SUM(D5:D21)</f>
        <v/>
      </c>
      <c r="E22" s="38">
        <f>SUM(E5:E21)</f>
        <v/>
      </c>
      <c r="F22" s="38">
        <f>SUM(F5:F21)</f>
        <v/>
      </c>
      <c r="G22" s="38">
        <f>SUM(G5:G21)</f>
        <v/>
      </c>
      <c r="H22" s="38" t="inlineStr">
        <is>
          <t>100%</t>
        </is>
      </c>
    </row>
    <row r="24">
      <c r="A24" s="39" t="inlineStr">
        <is>
          <t>LEYENDA: HORAS PICO</t>
        </is>
      </c>
    </row>
    <row r="25">
      <c r="A25" s="40" t="inlineStr">
        <is>
          <t>07:00 - 10:00</t>
        </is>
      </c>
      <c r="B25" s="41" t="inlineStr">
        <is>
          <t>MAÑANA (Alta)</t>
        </is>
      </c>
      <c r="C25" s="42" t="inlineStr">
        <is>
          <t>Llegada de pacientes post-madrugada</t>
        </is>
      </c>
    </row>
    <row r="26">
      <c r="A26" s="40" t="inlineStr">
        <is>
          <t>12:00 - 15:00</t>
        </is>
      </c>
      <c r="B26" s="41" t="inlineStr">
        <is>
          <t>TARDE (Muy Alta)</t>
        </is>
      </c>
      <c r="C26" s="42" t="inlineStr">
        <is>
          <t>Hora de mayor afluencia del día</t>
        </is>
      </c>
    </row>
    <row r="27">
      <c r="A27" s="40" t="inlineStr">
        <is>
          <t>18:00 - 21:00</t>
        </is>
      </c>
      <c r="B27" s="41" t="inlineStr">
        <is>
          <t>NOCHE (Media-Alta)</t>
        </is>
      </c>
      <c r="C27" s="42" t="inlineStr">
        <is>
          <t>Pacientes post-jornada laboral</t>
        </is>
      </c>
    </row>
  </sheetData>
  <mergeCells count="6">
    <mergeCell ref="A3:H3"/>
    <mergeCell ref="C25:D25"/>
    <mergeCell ref="C27:D27"/>
    <mergeCell ref="A24:D24"/>
    <mergeCell ref="A1:H1"/>
    <mergeCell ref="C26:D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2026-05-26T16:08:54Z</dcterms:created>
  <dcterms:modified xsi:type="dcterms:W3CDTF">2026-05-26T16:08:56Z</dcterms:modified>
</cp:coreProperties>
</file>