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_SIMULACION" sheetId="1" state="visible" r:id="rId1"/>
    <sheet name="COLA_PRIORIDAD" sheetId="2" state="visible" r:id="rId2"/>
    <sheet name="DASHBOARD_GENERAL" sheetId="3" state="visible" r:id="rId3"/>
    <sheet name="DASHBOARD_POR_PACIENTE" sheetId="4" state="visible" r:id="rId4"/>
    <sheet name="DASHBOARD_HORAS_P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222222"/>
      <sz val="9"/>
    </font>
    <font>
      <name val="Calibri"/>
      <color rgb="00222222"/>
      <sz val="9"/>
    </font>
    <font>
      <name val="Calibri"/>
      <b val="1"/>
      <color rgb="001E8449"/>
      <sz val="9"/>
    </font>
    <font>
      <name val="Calibri"/>
      <b val="1"/>
      <color rgb="001A5276"/>
      <sz val="9"/>
    </font>
    <font>
      <name val="Calibri"/>
      <b val="1"/>
      <color rgb="00B7950B"/>
      <sz val="9"/>
    </font>
    <font>
      <name val="Calibri"/>
      <b val="1"/>
      <color rgb="00CA6F1E"/>
      <sz val="9"/>
    </font>
    <font>
      <name val="Calibri"/>
      <b val="1"/>
      <color rgb="00C0392B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1A3A5C"/>
      <sz val="12"/>
    </font>
    <font>
      <name val="Calibri"/>
      <color rgb="00000000"/>
      <sz val="9"/>
    </font>
    <font>
      <name val="Calibri"/>
      <b val="1"/>
      <color rgb="00000000"/>
      <sz val="9"/>
    </font>
    <font>
      <name val="Calibri"/>
      <i val="1"/>
      <color rgb="00000000"/>
      <sz val="9"/>
    </font>
  </fonts>
  <fills count="2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E5FA3"/>
      </patternFill>
    </fill>
    <fill>
      <patternFill patternType="solid">
        <fgColor rgb="00CCFFCC"/>
      </patternFill>
    </fill>
    <fill>
      <patternFill patternType="solid">
        <fgColor rgb="00CCE5FF"/>
      </patternFill>
    </fill>
    <fill>
      <patternFill patternType="solid">
        <fgColor rgb="00FFEECC"/>
      </patternFill>
    </fill>
    <fill>
      <patternFill patternType="solid">
        <fgColor rgb="00FFE5CC"/>
      </patternFill>
    </fill>
    <fill>
      <patternFill patternType="solid">
        <fgColor rgb="00FFCCCC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FFFACC"/>
      </patternFill>
    </fill>
    <fill>
      <patternFill patternType="solid">
        <fgColor rgb="00FFD5D5"/>
      </patternFill>
    </fill>
    <fill>
      <patternFill patternType="solid">
        <fgColor rgb="00FFF3E0"/>
      </patternFill>
    </fill>
    <fill>
      <patternFill patternType="solid">
        <fgColor rgb="00E8F8F5"/>
      </patternFill>
    </fill>
    <fill>
      <patternFill patternType="solid">
        <fgColor rgb="00FFE0B2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13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12" fillId="19" borderId="0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Distribución por Nivel de Triage</a:t>
            </a:r>
          </a:p>
        </rich>
      </tx>
    </title>
    <plotArea>
      <pieChart>
        <varyColors val="1"/>
        <ser>
          <idx val="0"/>
          <order val="0"/>
          <tx>
            <strRef>
              <f>'DASHBOARD_GENERAL'!B19</f>
            </strRef>
          </tx>
          <spPr>
            <a:ln>
              <a:prstDash val="solid"/>
            </a:ln>
          </spPr>
          <cat>
            <numRef>
              <f>'DASHBOARD_GENERAL'!$A$20:$A$24</f>
            </numRef>
          </cat>
          <val>
            <numRef>
              <f>'DASHBOARD_GENERAL'!$B$20:$B$24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Pacientes Asignados por Doctor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'DASHBOARD_GENERAL'!B27</f>
            </strRef>
          </tx>
          <spPr>
            <a:ln>
              <a:prstDash val="solid"/>
            </a:ln>
          </spPr>
          <cat>
            <numRef>
              <f>'DASHBOARD_GENERAL'!$A$28:$A$32</f>
            </numRef>
          </cat>
          <val>
            <numRef>
              <f>'DASHBOARD_GENERAL'!$B$28:$B$32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Doctor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Pacientes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Pacientes por Hora del Día (Simulación Horas Pico)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'DASHBOARD_HORAS_PICO'!B4</f>
            </strRef>
          </tx>
          <spPr>
            <a:ln>
              <a:prstDash val="solid"/>
            </a:ln>
          </spPr>
          <cat>
            <numRef>
              <f>'DASHBOARD_HORAS_PICO'!$A$5:$A$21</f>
            </numRef>
          </cat>
          <val>
            <numRef>
              <f>'DASHBOARD_HORAS_PICO'!$B$5:$B$21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N° Pacientes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17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29</row>
      <rowOff>0</rowOff>
    </from>
    <ext cx="576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6" customWidth="1" min="4" max="4"/>
    <col width="6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36" customWidth="1" min="12" max="12"/>
    <col width="14" customWidth="1" min="13" max="13"/>
    <col width="15" customWidth="1" min="14" max="14"/>
    <col width="15" customWidth="1" min="15" max="15"/>
    <col width="24" customWidth="1" min="16" max="16"/>
  </cols>
  <sheetData>
    <row r="1" ht="28" customHeight="1">
      <c r="A1" s="1" t="inlineStr">
        <is>
          <t>🏥 SIMULACIÓN HORAS PICO — HOSPITAL DEL TUNAL · URGENCIAS</t>
        </is>
      </c>
    </row>
    <row r="2" ht="18" customHeight="1">
      <c r="A2" s="2" t="inlineStr">
        <is>
          <t>Generado: 2026-05-26 10:31  |  60 pacientes  |  Seed 42 (reproducible)</t>
        </is>
      </c>
    </row>
    <row r="3">
      <c r="A3" s="3" t="inlineStr">
        <is>
          <t>N° TURNO</t>
        </is>
      </c>
      <c r="B3" s="3" t="inlineStr">
        <is>
          <t>NOMBRE COMPLETO</t>
        </is>
      </c>
      <c r="C3" s="3" t="inlineStr">
        <is>
          <t>CÉDULA</t>
        </is>
      </c>
      <c r="D3" s="3" t="inlineStr">
        <is>
          <t>SEXO</t>
        </is>
      </c>
      <c r="E3" s="3" t="inlineStr">
        <is>
          <t>EDAD</t>
        </is>
      </c>
      <c r="F3" s="3" t="inlineStr">
        <is>
          <t>GRUPO EDAD</t>
        </is>
      </c>
      <c r="G3" s="3" t="inlineStr">
        <is>
          <t>FECHA NAC.</t>
        </is>
      </c>
      <c r="H3" s="3" t="inlineStr">
        <is>
          <t>EPS</t>
        </is>
      </c>
      <c r="I3" s="3" t="inlineStr">
        <is>
          <t>TELÉFONO</t>
        </is>
      </c>
      <c r="J3" s="3" t="inlineStr">
        <is>
          <t>TEL. EMERGENCIA</t>
        </is>
      </c>
      <c r="K3" s="3" t="inlineStr">
        <is>
          <t>HORA REGISTRO</t>
        </is>
      </c>
      <c r="L3" s="3" t="inlineStr">
        <is>
          <t>TIPO EMERGENCIA</t>
        </is>
      </c>
      <c r="M3" s="3" t="inlineStr">
        <is>
          <t>TRIAGE</t>
        </is>
      </c>
      <c r="N3" s="3" t="inlineStr">
        <is>
          <t>T. ATENCIÓN (min)</t>
        </is>
      </c>
      <c r="O3" s="3" t="inlineStr">
        <is>
          <t>ESPERA EST. (min)</t>
        </is>
      </c>
      <c r="P3" s="3" t="inlineStr">
        <is>
          <t>DOCTOR ASIGNADO</t>
        </is>
      </c>
    </row>
    <row r="4">
      <c r="A4" s="4" t="n">
        <v>12</v>
      </c>
      <c r="B4" s="5" t="inlineStr">
        <is>
          <t>Fernanda Sánchez López</t>
        </is>
      </c>
      <c r="C4" s="6" t="inlineStr">
        <is>
          <t>26240908</t>
        </is>
      </c>
      <c r="D4" s="6" t="inlineStr">
        <is>
          <t>F</t>
        </is>
      </c>
      <c r="E4" s="6" t="n">
        <v>29</v>
      </c>
      <c r="F4" s="6" t="inlineStr">
        <is>
          <t>Adulto</t>
        </is>
      </c>
      <c r="G4" s="6" t="inlineStr">
        <is>
          <t>1997-05-26</t>
        </is>
      </c>
      <c r="H4" s="5" t="inlineStr">
        <is>
          <t>NUEVA EPS</t>
        </is>
      </c>
      <c r="I4" s="6" t="inlineStr">
        <is>
          <t>3191987737</t>
        </is>
      </c>
      <c r="J4" s="6" t="inlineStr">
        <is>
          <t>3392130789</t>
        </is>
      </c>
      <c r="K4" s="6" t="inlineStr">
        <is>
          <t>07:05:00</t>
        </is>
      </c>
      <c r="L4" s="5" t="inlineStr">
        <is>
          <t>Fiebre alta con convulsión</t>
        </is>
      </c>
      <c r="M4" s="7" t="inlineStr">
        <is>
          <t>T4 · VERDE</t>
        </is>
      </c>
      <c r="N4" s="6" t="n">
        <v>25</v>
      </c>
      <c r="O4" s="6" t="n">
        <v>75</v>
      </c>
      <c r="P4" s="5" t="inlineStr">
        <is>
          <t>Laura Gómez</t>
        </is>
      </c>
    </row>
    <row r="5">
      <c r="A5" s="4" t="n">
        <v>18</v>
      </c>
      <c r="B5" s="5" t="inlineStr">
        <is>
          <t>Miguel Torres Reyes</t>
        </is>
      </c>
      <c r="C5" s="6" t="inlineStr">
        <is>
          <t>43046464</t>
        </is>
      </c>
      <c r="D5" s="6" t="inlineStr">
        <is>
          <t>M</t>
        </is>
      </c>
      <c r="E5" s="6" t="n">
        <v>63</v>
      </c>
      <c r="F5" s="6" t="inlineStr">
        <is>
          <t>Adulto mayor</t>
        </is>
      </c>
      <c r="G5" s="6" t="inlineStr">
        <is>
          <t>1963-05-26</t>
        </is>
      </c>
      <c r="H5" s="5" t="inlineStr">
        <is>
          <t>COMPENSAR</t>
        </is>
      </c>
      <c r="I5" s="6" t="inlineStr">
        <is>
          <t>3956271130</t>
        </is>
      </c>
      <c r="J5" s="6" t="inlineStr">
        <is>
          <t>3405456272</t>
        </is>
      </c>
      <c r="K5" s="6" t="inlineStr">
        <is>
          <t>07:20:00</t>
        </is>
      </c>
      <c r="L5" s="5" t="inlineStr">
        <is>
          <t>Herida con sangrado moderado</t>
        </is>
      </c>
      <c r="M5" s="7" t="inlineStr">
        <is>
          <t>T4 · VERDE</t>
        </is>
      </c>
      <c r="N5" s="6" t="n">
        <v>20</v>
      </c>
      <c r="O5" s="6" t="n">
        <v>119</v>
      </c>
      <c r="P5" s="5" t="inlineStr">
        <is>
          <t>Andrés Martínez</t>
        </is>
      </c>
    </row>
    <row r="6">
      <c r="A6" s="4" t="n">
        <v>59</v>
      </c>
      <c r="B6" s="5" t="inlineStr">
        <is>
          <t>Claudia García García</t>
        </is>
      </c>
      <c r="C6" s="6" t="inlineStr">
        <is>
          <t>42713008</t>
        </is>
      </c>
      <c r="D6" s="6" t="inlineStr">
        <is>
          <t>F</t>
        </is>
      </c>
      <c r="E6" s="6" t="n">
        <v>52</v>
      </c>
      <c r="F6" s="6" t="inlineStr">
        <is>
          <t>Adulto</t>
        </is>
      </c>
      <c r="G6" s="6" t="inlineStr">
        <is>
          <t>1974-05-26</t>
        </is>
      </c>
      <c r="H6" s="5" t="inlineStr">
        <is>
          <t>FAMISANAR</t>
        </is>
      </c>
      <c r="I6" s="6" t="inlineStr">
        <is>
          <t>3636702160</t>
        </is>
      </c>
      <c r="J6" s="6" t="inlineStr">
        <is>
          <t>3745482413</t>
        </is>
      </c>
      <c r="K6" s="6" t="inlineStr">
        <is>
          <t>07:48:00</t>
        </is>
      </c>
      <c r="L6" s="5" t="inlineStr">
        <is>
          <t>Dolor leve / Malestar general</t>
        </is>
      </c>
      <c r="M6" s="8" t="inlineStr">
        <is>
          <t>T5 · AZUL</t>
        </is>
      </c>
      <c r="N6" s="6" t="n">
        <v>15</v>
      </c>
      <c r="O6" s="6" t="n">
        <v>110</v>
      </c>
      <c r="P6" s="5" t="inlineStr">
        <is>
          <t>Carlos Ramírez</t>
        </is>
      </c>
    </row>
    <row r="7">
      <c r="A7" s="4" t="n">
        <v>39</v>
      </c>
      <c r="B7" s="5" t="inlineStr">
        <is>
          <t>Natalia Moreno Martínez</t>
        </is>
      </c>
      <c r="C7" s="6" t="inlineStr">
        <is>
          <t>97477029</t>
        </is>
      </c>
      <c r="D7" s="6" t="inlineStr">
        <is>
          <t>F</t>
        </is>
      </c>
      <c r="E7" s="6" t="n">
        <v>1</v>
      </c>
      <c r="F7" s="6" t="inlineStr">
        <is>
          <t>Neonato</t>
        </is>
      </c>
      <c r="G7" s="6" t="inlineStr">
        <is>
          <t>2025-05-26</t>
        </is>
      </c>
      <c r="H7" s="5" t="inlineStr">
        <is>
          <t>COMPENSAR</t>
        </is>
      </c>
      <c r="I7" s="6" t="inlineStr">
        <is>
          <t>3268945036</t>
        </is>
      </c>
      <c r="J7" s="6" t="inlineStr">
        <is>
          <t>3952919136</t>
        </is>
      </c>
      <c r="K7" s="6" t="inlineStr">
        <is>
          <t>08:03:00</t>
        </is>
      </c>
      <c r="L7" s="5" t="inlineStr">
        <is>
          <t>Fractura con compromiso vascular</t>
        </is>
      </c>
      <c r="M7" s="9" t="inlineStr">
        <is>
          <t>T3 · AMARILLO</t>
        </is>
      </c>
      <c r="N7" s="6" t="n">
        <v>35</v>
      </c>
      <c r="O7" s="6" t="n">
        <v>79</v>
      </c>
      <c r="P7" s="5" t="inlineStr">
        <is>
          <t>Laura Gómez</t>
        </is>
      </c>
    </row>
    <row r="8">
      <c r="A8" s="4" t="n">
        <v>56</v>
      </c>
      <c r="B8" s="5" t="inlineStr">
        <is>
          <t>Isabella Morales Cárdenas</t>
        </is>
      </c>
      <c r="C8" s="6" t="inlineStr">
        <is>
          <t>83832717</t>
        </is>
      </c>
      <c r="D8" s="6" t="inlineStr">
        <is>
          <t>F</t>
        </is>
      </c>
      <c r="E8" s="6" t="n">
        <v>1</v>
      </c>
      <c r="F8" s="6" t="inlineStr">
        <is>
          <t>Neonato</t>
        </is>
      </c>
      <c r="G8" s="6" t="inlineStr">
        <is>
          <t>2025-05-26</t>
        </is>
      </c>
      <c r="H8" s="5" t="inlineStr">
        <is>
          <t>NUEVA EPS</t>
        </is>
      </c>
      <c r="I8" s="6" t="inlineStr">
        <is>
          <t>3948750676</t>
        </is>
      </c>
      <c r="J8" s="6" t="inlineStr">
        <is>
          <t>3621909393</t>
        </is>
      </c>
      <c r="K8" s="6" t="inlineStr">
        <is>
          <t>08:04:00</t>
        </is>
      </c>
      <c r="L8" s="5" t="inlineStr">
        <is>
          <t>Dolor abdominal agudo</t>
        </is>
      </c>
      <c r="M8" s="9" t="inlineStr">
        <is>
          <t>T3 · AMARILLO</t>
        </is>
      </c>
      <c r="N8" s="6" t="n">
        <v>30</v>
      </c>
      <c r="O8" s="6" t="n">
        <v>110</v>
      </c>
      <c r="P8" s="5" t="inlineStr">
        <is>
          <t>Felipe Herrera</t>
        </is>
      </c>
    </row>
    <row r="9">
      <c r="A9" s="4" t="n">
        <v>22</v>
      </c>
      <c r="B9" s="5" t="inlineStr">
        <is>
          <t>Claudia Pardo Gómez</t>
        </is>
      </c>
      <c r="C9" s="6" t="inlineStr">
        <is>
          <t>10475894</t>
        </is>
      </c>
      <c r="D9" s="6" t="inlineStr">
        <is>
          <t>F</t>
        </is>
      </c>
      <c r="E9" s="6" t="n">
        <v>38</v>
      </c>
      <c r="F9" s="6" t="inlineStr">
        <is>
          <t>Adulto</t>
        </is>
      </c>
      <c r="G9" s="6" t="inlineStr">
        <is>
          <t>1988-05-26</t>
        </is>
      </c>
      <c r="H9" s="5" t="inlineStr">
        <is>
          <t>SALUD TOTAL</t>
        </is>
      </c>
      <c r="I9" s="6" t="inlineStr">
        <is>
          <t>3112876932</t>
        </is>
      </c>
      <c r="J9" s="6" t="inlineStr">
        <is>
          <t>3193500715</t>
        </is>
      </c>
      <c r="K9" s="6" t="inlineStr">
        <is>
          <t>08:07:00</t>
        </is>
      </c>
      <c r="L9" s="5" t="inlineStr">
        <is>
          <t>Dolor abdominal agudo</t>
        </is>
      </c>
      <c r="M9" s="9" t="inlineStr">
        <is>
          <t>T3 · AMARILLO</t>
        </is>
      </c>
      <c r="N9" s="6" t="n">
        <v>30</v>
      </c>
      <c r="O9" s="6" t="n">
        <v>70</v>
      </c>
      <c r="P9" s="5" t="inlineStr">
        <is>
          <t>Sofía Torres</t>
        </is>
      </c>
    </row>
    <row r="10">
      <c r="A10" s="4" t="n">
        <v>52</v>
      </c>
      <c r="B10" s="5" t="inlineStr">
        <is>
          <t>María Ospina Alvarado</t>
        </is>
      </c>
      <c r="C10" s="6" t="inlineStr">
        <is>
          <t>70939053</t>
        </is>
      </c>
      <c r="D10" s="6" t="inlineStr">
        <is>
          <t>F</t>
        </is>
      </c>
      <c r="E10" s="6" t="n">
        <v>4</v>
      </c>
      <c r="F10" s="6" t="inlineStr">
        <is>
          <t>Infante</t>
        </is>
      </c>
      <c r="G10" s="6" t="inlineStr">
        <is>
          <t>2022-05-26</t>
        </is>
      </c>
      <c r="H10" s="5" t="inlineStr">
        <is>
          <t>SALUD TOTAL</t>
        </is>
      </c>
      <c r="I10" s="6" t="inlineStr">
        <is>
          <t>3383499627</t>
        </is>
      </c>
      <c r="J10" s="6" t="inlineStr">
        <is>
          <t>3443386328</t>
        </is>
      </c>
      <c r="K10" s="6" t="inlineStr">
        <is>
          <t>08:07:00</t>
        </is>
      </c>
      <c r="L10" s="5" t="inlineStr">
        <is>
          <t>Dolor leve / Malestar general</t>
        </is>
      </c>
      <c r="M10" s="8" t="inlineStr">
        <is>
          <t>T5 · AZUL</t>
        </is>
      </c>
      <c r="N10" s="6" t="n">
        <v>15</v>
      </c>
      <c r="O10" s="6" t="n">
        <v>54</v>
      </c>
      <c r="P10" s="5" t="inlineStr">
        <is>
          <t>Carlos Ramírez</t>
        </is>
      </c>
    </row>
    <row r="11">
      <c r="A11" s="4" t="n">
        <v>48</v>
      </c>
      <c r="B11" s="5" t="inlineStr">
        <is>
          <t>Santiago Díaz Herrera</t>
        </is>
      </c>
      <c r="C11" s="6" t="inlineStr">
        <is>
          <t>46817443</t>
        </is>
      </c>
      <c r="D11" s="6" t="inlineStr">
        <is>
          <t>M</t>
        </is>
      </c>
      <c r="E11" s="6" t="n">
        <v>2</v>
      </c>
      <c r="F11" s="6" t="inlineStr">
        <is>
          <t>Infante</t>
        </is>
      </c>
      <c r="G11" s="6" t="inlineStr">
        <is>
          <t>2024-05-26</t>
        </is>
      </c>
      <c r="H11" s="5" t="inlineStr">
        <is>
          <t>SURA</t>
        </is>
      </c>
      <c r="I11" s="6" t="inlineStr">
        <is>
          <t>3115770422</t>
        </is>
      </c>
      <c r="J11" s="6" t="inlineStr">
        <is>
          <t>3709031491</t>
        </is>
      </c>
      <c r="K11" s="6" t="inlineStr">
        <is>
          <t>08:14:00</t>
        </is>
      </c>
      <c r="L11" s="5" t="inlineStr">
        <is>
          <t>Fiebre alta con convulsión</t>
        </is>
      </c>
      <c r="M11" s="7" t="inlineStr">
        <is>
          <t>T4 · VERDE</t>
        </is>
      </c>
      <c r="N11" s="6" t="n">
        <v>25</v>
      </c>
      <c r="O11" s="6" t="n">
        <v>81</v>
      </c>
      <c r="P11" s="5" t="inlineStr">
        <is>
          <t>Sofía Torres</t>
        </is>
      </c>
    </row>
    <row r="12">
      <c r="A12" s="4" t="n">
        <v>23</v>
      </c>
      <c r="B12" s="5" t="inlineStr">
        <is>
          <t>Camilo Jiménez Reyes</t>
        </is>
      </c>
      <c r="C12" s="6" t="inlineStr">
        <is>
          <t>84158663</t>
        </is>
      </c>
      <c r="D12" s="6" t="inlineStr">
        <is>
          <t>M</t>
        </is>
      </c>
      <c r="E12" s="6" t="n">
        <v>17</v>
      </c>
      <c r="F12" s="6" t="inlineStr">
        <is>
          <t>Menor de edad</t>
        </is>
      </c>
      <c r="G12" s="6" t="inlineStr">
        <is>
          <t>2009-05-26</t>
        </is>
      </c>
      <c r="H12" s="5" t="inlineStr">
        <is>
          <t>COMPENSAR</t>
        </is>
      </c>
      <c r="I12" s="6" t="inlineStr">
        <is>
          <t>3975186414</t>
        </is>
      </c>
      <c r="J12" s="6" t="inlineStr">
        <is>
          <t>3952724590</t>
        </is>
      </c>
      <c r="K12" s="6" t="inlineStr">
        <is>
          <t>08:18:00</t>
        </is>
      </c>
      <c r="L12" s="5" t="inlineStr">
        <is>
          <t>Fractura con compromiso vascular</t>
        </is>
      </c>
      <c r="M12" s="9" t="inlineStr">
        <is>
          <t>T3 · AMARILLO</t>
        </is>
      </c>
      <c r="N12" s="6" t="n">
        <v>35</v>
      </c>
      <c r="O12" s="6" t="n">
        <v>115</v>
      </c>
      <c r="P12" s="5" t="inlineStr">
        <is>
          <t>Andrés Martínez</t>
        </is>
      </c>
    </row>
    <row r="13">
      <c r="A13" s="4" t="n">
        <v>16</v>
      </c>
      <c r="B13" s="5" t="inlineStr">
        <is>
          <t>Mariana Medina Morales</t>
        </is>
      </c>
      <c r="C13" s="6" t="inlineStr">
        <is>
          <t>17869910</t>
        </is>
      </c>
      <c r="D13" s="6" t="inlineStr">
        <is>
          <t>F</t>
        </is>
      </c>
      <c r="E13" s="6" t="n">
        <v>19</v>
      </c>
      <c r="F13" s="6" t="inlineStr">
        <is>
          <t>Adulto</t>
        </is>
      </c>
      <c r="G13" s="6" t="inlineStr">
        <is>
          <t>2007-05-26</t>
        </is>
      </c>
      <c r="H13" s="5" t="inlineStr">
        <is>
          <t>SALUD TOTAL</t>
        </is>
      </c>
      <c r="I13" s="6" t="inlineStr">
        <is>
          <t>3949164991</t>
        </is>
      </c>
      <c r="J13" s="6" t="inlineStr">
        <is>
          <t>3294185957</t>
        </is>
      </c>
      <c r="K13" s="6" t="inlineStr">
        <is>
          <t>08:39:00</t>
        </is>
      </c>
      <c r="L13" s="5" t="inlineStr">
        <is>
          <t>Dolor abdominal agudo</t>
        </is>
      </c>
      <c r="M13" s="9" t="inlineStr">
        <is>
          <t>T3 · AMARILLO</t>
        </is>
      </c>
      <c r="N13" s="6" t="n">
        <v>30</v>
      </c>
      <c r="O13" s="6" t="n">
        <v>36</v>
      </c>
      <c r="P13" s="5" t="inlineStr">
        <is>
          <t>Sofía Torres</t>
        </is>
      </c>
    </row>
    <row r="14">
      <c r="A14" s="4" t="n">
        <v>42</v>
      </c>
      <c r="B14" s="5" t="inlineStr">
        <is>
          <t>Isabella Jiménez Martínez</t>
        </is>
      </c>
      <c r="C14" s="6" t="inlineStr">
        <is>
          <t>77908907</t>
        </is>
      </c>
      <c r="D14" s="6" t="inlineStr">
        <is>
          <t>F</t>
        </is>
      </c>
      <c r="E14" s="6" t="n">
        <v>67</v>
      </c>
      <c r="F14" s="6" t="inlineStr">
        <is>
          <t>Adulto mayor</t>
        </is>
      </c>
      <c r="G14" s="6" t="inlineStr">
        <is>
          <t>1959-05-26</t>
        </is>
      </c>
      <c r="H14" s="5" t="inlineStr">
        <is>
          <t>MEDIMAS</t>
        </is>
      </c>
      <c r="I14" s="6" t="inlineStr">
        <is>
          <t>3298306261</t>
        </is>
      </c>
      <c r="J14" s="6" t="inlineStr">
        <is>
          <t>3329753457</t>
        </is>
      </c>
      <c r="K14" s="6" t="inlineStr">
        <is>
          <t>08:47:00</t>
        </is>
      </c>
      <c r="L14" s="5" t="inlineStr">
        <is>
          <t>Dolor leve / Malestar general</t>
        </is>
      </c>
      <c r="M14" s="8" t="inlineStr">
        <is>
          <t>T5 · AZUL</t>
        </is>
      </c>
      <c r="N14" s="6" t="n">
        <v>15</v>
      </c>
      <c r="O14" s="6" t="n">
        <v>55</v>
      </c>
      <c r="P14" s="5" t="inlineStr">
        <is>
          <t>Andrés Martínez</t>
        </is>
      </c>
    </row>
    <row r="15">
      <c r="A15" s="4" t="n">
        <v>34</v>
      </c>
      <c r="B15" s="5" t="inlineStr">
        <is>
          <t>Camilo Moreno Pardo</t>
        </is>
      </c>
      <c r="C15" s="6" t="inlineStr">
        <is>
          <t>79967676</t>
        </is>
      </c>
      <c r="D15" s="6" t="inlineStr">
        <is>
          <t>M</t>
        </is>
      </c>
      <c r="E15" s="6" t="n">
        <v>55</v>
      </c>
      <c r="F15" s="6" t="inlineStr">
        <is>
          <t>Adulto</t>
        </is>
      </c>
      <c r="G15" s="6" t="inlineStr">
        <is>
          <t>1971-05-26</t>
        </is>
      </c>
      <c r="H15" s="5" t="inlineStr">
        <is>
          <t>COOMEVA</t>
        </is>
      </c>
      <c r="I15" s="6" t="inlineStr">
        <is>
          <t>3502351868</t>
        </is>
      </c>
      <c r="J15" s="6" t="inlineStr">
        <is>
          <t>3273530518</t>
        </is>
      </c>
      <c r="K15" s="6" t="inlineStr">
        <is>
          <t>08:52:00</t>
        </is>
      </c>
      <c r="L15" s="5" t="inlineStr">
        <is>
          <t>ACV / Derrame cerebral</t>
        </is>
      </c>
      <c r="M15" s="10" t="inlineStr">
        <is>
          <t>T2 · NARANJA</t>
        </is>
      </c>
      <c r="N15" s="6" t="n">
        <v>50</v>
      </c>
      <c r="O15" s="6" t="n">
        <v>30</v>
      </c>
      <c r="P15" s="5" t="inlineStr">
        <is>
          <t>Andrés Martínez</t>
        </is>
      </c>
    </row>
    <row r="16">
      <c r="A16" s="4" t="n">
        <v>51</v>
      </c>
      <c r="B16" s="5" t="inlineStr">
        <is>
          <t>Alejandro Medina Pardo</t>
        </is>
      </c>
      <c r="C16" s="6" t="inlineStr">
        <is>
          <t>98641164</t>
        </is>
      </c>
      <c r="D16" s="6" t="inlineStr">
        <is>
          <t>M</t>
        </is>
      </c>
      <c r="E16" s="6" t="n">
        <v>4</v>
      </c>
      <c r="F16" s="6" t="inlineStr">
        <is>
          <t>Infante</t>
        </is>
      </c>
      <c r="G16" s="6" t="inlineStr">
        <is>
          <t>2022-05-26</t>
        </is>
      </c>
      <c r="H16" s="5" t="inlineStr">
        <is>
          <t>ALIANSALUD</t>
        </is>
      </c>
      <c r="I16" s="6" t="inlineStr">
        <is>
          <t>3705886520</t>
        </is>
      </c>
      <c r="J16" s="6" t="inlineStr">
        <is>
          <t>3144883526</t>
        </is>
      </c>
      <c r="K16" s="6" t="inlineStr">
        <is>
          <t>09:21:00</t>
        </is>
      </c>
      <c r="L16" s="5" t="inlineStr">
        <is>
          <t>Dificultad respiratoria severa</t>
        </is>
      </c>
      <c r="M16" s="10" t="inlineStr">
        <is>
          <t>T2 · NARANJA</t>
        </is>
      </c>
      <c r="N16" s="6" t="n">
        <v>45</v>
      </c>
      <c r="O16" s="6" t="n">
        <v>52</v>
      </c>
      <c r="P16" s="5" t="inlineStr">
        <is>
          <t>Sofía Torres</t>
        </is>
      </c>
    </row>
    <row r="17">
      <c r="A17" s="4" t="n">
        <v>6</v>
      </c>
      <c r="B17" s="5" t="inlineStr">
        <is>
          <t>Jorge Gómez Castro</t>
        </is>
      </c>
      <c r="C17" s="6" t="inlineStr">
        <is>
          <t>63843426</t>
        </is>
      </c>
      <c r="D17" s="6" t="inlineStr">
        <is>
          <t>M</t>
        </is>
      </c>
      <c r="E17" s="6" t="n">
        <v>31</v>
      </c>
      <c r="F17" s="6" t="inlineStr">
        <is>
          <t>Adulto</t>
        </is>
      </c>
      <c r="G17" s="6" t="inlineStr">
        <is>
          <t>1995-05-26</t>
        </is>
      </c>
      <c r="H17" s="5" t="inlineStr">
        <is>
          <t>CAJACOPI</t>
        </is>
      </c>
      <c r="I17" s="6" t="inlineStr">
        <is>
          <t>3928698256</t>
        </is>
      </c>
      <c r="J17" s="6" t="inlineStr">
        <is>
          <t>3285443951</t>
        </is>
      </c>
      <c r="K17" s="6" t="inlineStr">
        <is>
          <t>09:25:00</t>
        </is>
      </c>
      <c r="L17" s="5" t="inlineStr">
        <is>
          <t>Consulta menor (gripe, tos)</t>
        </is>
      </c>
      <c r="M17" s="8" t="inlineStr">
        <is>
          <t>T5 · AZUL</t>
        </is>
      </c>
      <c r="N17" s="6" t="n">
        <v>10</v>
      </c>
      <c r="O17" s="6" t="n">
        <v>27</v>
      </c>
      <c r="P17" s="5" t="inlineStr">
        <is>
          <t>Sofía Torres</t>
        </is>
      </c>
    </row>
    <row r="18">
      <c r="A18" s="4" t="n">
        <v>17</v>
      </c>
      <c r="B18" s="5" t="inlineStr">
        <is>
          <t>Natalia Gómez Reyes</t>
        </is>
      </c>
      <c r="C18" s="6" t="inlineStr">
        <is>
          <t>82772208</t>
        </is>
      </c>
      <c r="D18" s="6" t="inlineStr">
        <is>
          <t>F</t>
        </is>
      </c>
      <c r="E18" s="6" t="n">
        <v>3</v>
      </c>
      <c r="F18" s="6" t="inlineStr">
        <is>
          <t>Infante</t>
        </is>
      </c>
      <c r="G18" s="6" t="inlineStr">
        <is>
          <t>2023-05-26</t>
        </is>
      </c>
      <c r="H18" s="5" t="inlineStr">
        <is>
          <t>SURA</t>
        </is>
      </c>
      <c r="I18" s="6" t="inlineStr">
        <is>
          <t>3332149597</t>
        </is>
      </c>
      <c r="J18" s="6" t="inlineStr">
        <is>
          <t>3862140194</t>
        </is>
      </c>
      <c r="K18" s="6" t="inlineStr">
        <is>
          <t>10:06:00</t>
        </is>
      </c>
      <c r="L18" s="5" t="inlineStr">
        <is>
          <t>Fiebre alta con convulsión</t>
        </is>
      </c>
      <c r="M18" s="7" t="inlineStr">
        <is>
          <t>T4 · VERDE</t>
        </is>
      </c>
      <c r="N18" s="6" t="n">
        <v>25</v>
      </c>
      <c r="O18" s="6" t="n">
        <v>7</v>
      </c>
      <c r="P18" s="5" t="inlineStr">
        <is>
          <t>Felipe Herrera</t>
        </is>
      </c>
    </row>
    <row r="19">
      <c r="A19" s="4" t="n">
        <v>4</v>
      </c>
      <c r="B19" s="5" t="inlineStr">
        <is>
          <t>Santiago Martínez Gómez</t>
        </is>
      </c>
      <c r="C19" s="6" t="inlineStr">
        <is>
          <t>98753260</t>
        </is>
      </c>
      <c r="D19" s="6" t="inlineStr">
        <is>
          <t>M</t>
        </is>
      </c>
      <c r="E19" s="6" t="n">
        <v>26</v>
      </c>
      <c r="F19" s="6" t="inlineStr">
        <is>
          <t>Adulto</t>
        </is>
      </c>
      <c r="G19" s="6" t="inlineStr">
        <is>
          <t>2000-05-26</t>
        </is>
      </c>
      <c r="H19" s="5" t="inlineStr">
        <is>
          <t>MEDIMAS</t>
        </is>
      </c>
      <c r="I19" s="6" t="inlineStr">
        <is>
          <t>3917120868</t>
        </is>
      </c>
      <c r="J19" s="6" t="inlineStr">
        <is>
          <t>3307210606</t>
        </is>
      </c>
      <c r="K19" s="6" t="inlineStr">
        <is>
          <t>10:10:00</t>
        </is>
      </c>
      <c r="L19" s="5" t="inlineStr">
        <is>
          <t>Dolor leve / Malestar general</t>
        </is>
      </c>
      <c r="M19" s="8" t="inlineStr">
        <is>
          <t>T5 · AZUL</t>
        </is>
      </c>
      <c r="N19" s="6" t="n">
        <v>15</v>
      </c>
      <c r="O19" s="6" t="n">
        <v>48</v>
      </c>
      <c r="P19" s="5" t="inlineStr">
        <is>
          <t>Andrés Martínez</t>
        </is>
      </c>
    </row>
    <row r="20">
      <c r="A20" s="4" t="n">
        <v>21</v>
      </c>
      <c r="B20" s="5" t="inlineStr">
        <is>
          <t>Nicolás Torres Bernal</t>
        </is>
      </c>
      <c r="C20" s="6" t="inlineStr">
        <is>
          <t>84252420</t>
        </is>
      </c>
      <c r="D20" s="6" t="inlineStr">
        <is>
          <t>M</t>
        </is>
      </c>
      <c r="E20" s="6" t="n">
        <v>18</v>
      </c>
      <c r="F20" s="6" t="inlineStr">
        <is>
          <t>Adulto</t>
        </is>
      </c>
      <c r="G20" s="6" t="inlineStr">
        <is>
          <t>2008-05-26</t>
        </is>
      </c>
      <c r="H20" s="5" t="inlineStr">
        <is>
          <t>SALUD TOTAL</t>
        </is>
      </c>
      <c r="I20" s="6" t="inlineStr">
        <is>
          <t>3725213115</t>
        </is>
      </c>
      <c r="J20" s="6" t="inlineStr">
        <is>
          <t>3162548511</t>
        </is>
      </c>
      <c r="K20" s="6" t="inlineStr">
        <is>
          <t>10:26:00</t>
        </is>
      </c>
      <c r="L20" s="5" t="inlineStr">
        <is>
          <t>Fiebre alta con convulsión</t>
        </is>
      </c>
      <c r="M20" s="7" t="inlineStr">
        <is>
          <t>T4 · VERDE</t>
        </is>
      </c>
      <c r="N20" s="6" t="n">
        <v>25</v>
      </c>
      <c r="O20" s="6" t="n">
        <v>87</v>
      </c>
      <c r="P20" s="5" t="inlineStr">
        <is>
          <t>Andrés Martínez</t>
        </is>
      </c>
    </row>
    <row r="21">
      <c r="A21" s="4" t="n">
        <v>3</v>
      </c>
      <c r="B21" s="5" t="inlineStr">
        <is>
          <t>Sofía Martínez Morales</t>
        </is>
      </c>
      <c r="C21" s="6" t="inlineStr">
        <is>
          <t>22981052</t>
        </is>
      </c>
      <c r="D21" s="6" t="inlineStr">
        <is>
          <t>F</t>
        </is>
      </c>
      <c r="E21" s="6" t="n">
        <v>41</v>
      </c>
      <c r="F21" s="6" t="inlineStr">
        <is>
          <t>Adulto</t>
        </is>
      </c>
      <c r="G21" s="6" t="inlineStr">
        <is>
          <t>1985-05-26</t>
        </is>
      </c>
      <c r="H21" s="5" t="inlineStr">
        <is>
          <t>CAJACOPI</t>
        </is>
      </c>
      <c r="I21" s="6" t="inlineStr">
        <is>
          <t>3205918715</t>
        </is>
      </c>
      <c r="J21" s="6" t="inlineStr">
        <is>
          <t>3907067228</t>
        </is>
      </c>
      <c r="K21" s="6" t="inlineStr">
        <is>
          <t>10:33:00</t>
        </is>
      </c>
      <c r="L21" s="5" t="inlineStr">
        <is>
          <t>Herida con sangrado moderado</t>
        </is>
      </c>
      <c r="M21" s="7" t="inlineStr">
        <is>
          <t>T4 · VERDE</t>
        </is>
      </c>
      <c r="N21" s="6" t="n">
        <v>20</v>
      </c>
      <c r="O21" s="6" t="n">
        <v>68</v>
      </c>
      <c r="P21" s="5" t="inlineStr">
        <is>
          <t>Carlos Ramírez</t>
        </is>
      </c>
    </row>
    <row r="22">
      <c r="A22" s="4" t="n">
        <v>27</v>
      </c>
      <c r="B22" s="5" t="inlineStr">
        <is>
          <t>Andrés Cruz Rodríguez</t>
        </is>
      </c>
      <c r="C22" s="6" t="inlineStr">
        <is>
          <t>56397338</t>
        </is>
      </c>
      <c r="D22" s="6" t="inlineStr">
        <is>
          <t>M</t>
        </is>
      </c>
      <c r="E22" s="6" t="n">
        <v>71</v>
      </c>
      <c r="F22" s="6" t="inlineStr">
        <is>
          <t>Adulto mayor</t>
        </is>
      </c>
      <c r="G22" s="6" t="inlineStr">
        <is>
          <t>1955-05-26</t>
        </is>
      </c>
      <c r="H22" s="5" t="inlineStr">
        <is>
          <t>COMPENSAR</t>
        </is>
      </c>
      <c r="I22" s="6" t="inlineStr">
        <is>
          <t>3421744682</t>
        </is>
      </c>
      <c r="J22" s="6" t="inlineStr">
        <is>
          <t>3651028374</t>
        </is>
      </c>
      <c r="K22" s="6" t="inlineStr">
        <is>
          <t>11:17:00</t>
        </is>
      </c>
      <c r="L22" s="5" t="inlineStr">
        <is>
          <t>Dolor leve / Malestar general</t>
        </is>
      </c>
      <c r="M22" s="8" t="inlineStr">
        <is>
          <t>T5 · AZUL</t>
        </is>
      </c>
      <c r="N22" s="6" t="n">
        <v>15</v>
      </c>
      <c r="O22" s="6" t="n">
        <v>49</v>
      </c>
      <c r="P22" s="5" t="inlineStr">
        <is>
          <t>Felipe Herrera</t>
        </is>
      </c>
    </row>
    <row r="23">
      <c r="A23" s="4" t="n">
        <v>38</v>
      </c>
      <c r="B23" s="5" t="inlineStr">
        <is>
          <t>Carlos Pardo Morales</t>
        </is>
      </c>
      <c r="C23" s="6" t="inlineStr">
        <is>
          <t>53936531</t>
        </is>
      </c>
      <c r="D23" s="6" t="inlineStr">
        <is>
          <t>M</t>
        </is>
      </c>
      <c r="E23" s="6" t="n">
        <v>24</v>
      </c>
      <c r="F23" s="6" t="inlineStr">
        <is>
          <t>Adulto</t>
        </is>
      </c>
      <c r="G23" s="6" t="inlineStr">
        <is>
          <t>2002-05-26</t>
        </is>
      </c>
      <c r="H23" s="5" t="inlineStr">
        <is>
          <t>FAMISANAR</t>
        </is>
      </c>
      <c r="I23" s="6" t="inlineStr">
        <is>
          <t>3208890439</t>
        </is>
      </c>
      <c r="J23" s="6" t="inlineStr">
        <is>
          <t>3121873851</t>
        </is>
      </c>
      <c r="K23" s="6" t="inlineStr">
        <is>
          <t>11:37:00</t>
        </is>
      </c>
      <c r="L23" s="5" t="inlineStr">
        <is>
          <t>Consulta menor (gripe, tos)</t>
        </is>
      </c>
      <c r="M23" s="8" t="inlineStr">
        <is>
          <t>T5 · AZUL</t>
        </is>
      </c>
      <c r="N23" s="6" t="n">
        <v>10</v>
      </c>
      <c r="O23" s="6" t="n">
        <v>96</v>
      </c>
      <c r="P23" s="5" t="inlineStr">
        <is>
          <t>Sofía Torres</t>
        </is>
      </c>
    </row>
    <row r="24">
      <c r="A24" s="4" t="n">
        <v>45</v>
      </c>
      <c r="B24" s="5" t="inlineStr">
        <is>
          <t>Paula Cárdenas Vargas</t>
        </is>
      </c>
      <c r="C24" s="6" t="inlineStr">
        <is>
          <t>73900135</t>
        </is>
      </c>
      <c r="D24" s="6" t="inlineStr">
        <is>
          <t>F</t>
        </is>
      </c>
      <c r="E24" s="6" t="n">
        <v>66</v>
      </c>
      <c r="F24" s="6" t="inlineStr">
        <is>
          <t>Adulto mayor</t>
        </is>
      </c>
      <c r="G24" s="6" t="inlineStr">
        <is>
          <t>1960-05-26</t>
        </is>
      </c>
      <c r="H24" s="5" t="inlineStr">
        <is>
          <t>FAMISANAR</t>
        </is>
      </c>
      <c r="I24" s="6" t="inlineStr">
        <is>
          <t>3947191135</t>
        </is>
      </c>
      <c r="J24" s="6" t="inlineStr">
        <is>
          <t>3709907391</t>
        </is>
      </c>
      <c r="K24" s="6" t="inlineStr">
        <is>
          <t>12:04:00</t>
        </is>
      </c>
      <c r="L24" s="5" t="inlineStr">
        <is>
          <t>Paro cardiorrespiratorio</t>
        </is>
      </c>
      <c r="M24" s="11" t="inlineStr">
        <is>
          <t>T1 · ROJO</t>
        </is>
      </c>
      <c r="N24" s="6" t="n">
        <v>60</v>
      </c>
      <c r="O24" s="6" t="n">
        <v>51</v>
      </c>
      <c r="P24" s="5" t="inlineStr">
        <is>
          <t>Laura Gómez</t>
        </is>
      </c>
    </row>
    <row r="25">
      <c r="A25" s="4" t="n">
        <v>54</v>
      </c>
      <c r="B25" s="5" t="inlineStr">
        <is>
          <t>Sofía Cruz Gómez</t>
        </is>
      </c>
      <c r="C25" s="6" t="inlineStr">
        <is>
          <t>67985905</t>
        </is>
      </c>
      <c r="D25" s="6" t="inlineStr">
        <is>
          <t>F</t>
        </is>
      </c>
      <c r="E25" s="6" t="n">
        <v>72</v>
      </c>
      <c r="F25" s="6" t="inlineStr">
        <is>
          <t>Adulto mayor</t>
        </is>
      </c>
      <c r="G25" s="6" t="inlineStr">
        <is>
          <t>1954-05-26</t>
        </is>
      </c>
      <c r="H25" s="5" t="inlineStr">
        <is>
          <t>ALIANSALUD</t>
        </is>
      </c>
      <c r="I25" s="6" t="inlineStr">
        <is>
          <t>3153939212</t>
        </is>
      </c>
      <c r="J25" s="6" t="inlineStr">
        <is>
          <t>3709706768</t>
        </is>
      </c>
      <c r="K25" s="6" t="inlineStr">
        <is>
          <t>12:06:00</t>
        </is>
      </c>
      <c r="L25" s="5" t="inlineStr">
        <is>
          <t>Paro cardiorrespiratorio</t>
        </is>
      </c>
      <c r="M25" s="11" t="inlineStr">
        <is>
          <t>T1 · ROJO</t>
        </is>
      </c>
      <c r="N25" s="6" t="n">
        <v>60</v>
      </c>
      <c r="O25" s="6" t="n">
        <v>97</v>
      </c>
      <c r="P25" s="5" t="inlineStr">
        <is>
          <t>Andrés Martínez</t>
        </is>
      </c>
    </row>
    <row r="26">
      <c r="A26" s="4" t="n">
        <v>49</v>
      </c>
      <c r="B26" s="5" t="inlineStr">
        <is>
          <t>Daniela Ríos Gómez</t>
        </is>
      </c>
      <c r="C26" s="6" t="inlineStr">
        <is>
          <t>43887075</t>
        </is>
      </c>
      <c r="D26" s="6" t="inlineStr">
        <is>
          <t>F</t>
        </is>
      </c>
      <c r="E26" s="6" t="n">
        <v>86</v>
      </c>
      <c r="F26" s="6" t="inlineStr">
        <is>
          <t>Anciano</t>
        </is>
      </c>
      <c r="G26" s="6" t="inlineStr">
        <is>
          <t>1940-05-26</t>
        </is>
      </c>
      <c r="H26" s="5" t="inlineStr">
        <is>
          <t>SANITAS</t>
        </is>
      </c>
      <c r="I26" s="6" t="inlineStr">
        <is>
          <t>3296097514</t>
        </is>
      </c>
      <c r="J26" s="6" t="inlineStr">
        <is>
          <t>3205163953</t>
        </is>
      </c>
      <c r="K26" s="6" t="inlineStr">
        <is>
          <t>12:16:00</t>
        </is>
      </c>
      <c r="L26" s="5" t="inlineStr">
        <is>
          <t>Fractura con compromiso vascular</t>
        </is>
      </c>
      <c r="M26" s="9" t="inlineStr">
        <is>
          <t>T3 · AMARILLO</t>
        </is>
      </c>
      <c r="N26" s="6" t="n">
        <v>35</v>
      </c>
      <c r="O26" s="6" t="n">
        <v>73</v>
      </c>
      <c r="P26" s="5" t="inlineStr">
        <is>
          <t>Carlos Ramírez</t>
        </is>
      </c>
    </row>
    <row r="27">
      <c r="A27" s="4" t="n">
        <v>41</v>
      </c>
      <c r="B27" s="5" t="inlineStr">
        <is>
          <t>María Medina Martínez</t>
        </is>
      </c>
      <c r="C27" s="6" t="inlineStr">
        <is>
          <t>89470029</t>
        </is>
      </c>
      <c r="D27" s="6" t="inlineStr">
        <is>
          <t>F</t>
        </is>
      </c>
      <c r="E27" s="6" t="n">
        <v>69</v>
      </c>
      <c r="F27" s="6" t="inlineStr">
        <is>
          <t>Adulto mayor</t>
        </is>
      </c>
      <c r="G27" s="6" t="inlineStr">
        <is>
          <t>1957-05-26</t>
        </is>
      </c>
      <c r="H27" s="5" t="inlineStr">
        <is>
          <t>SURA</t>
        </is>
      </c>
      <c r="I27" s="6" t="inlineStr">
        <is>
          <t>3821689025</t>
        </is>
      </c>
      <c r="J27" s="6" t="inlineStr">
        <is>
          <t>3549937982</t>
        </is>
      </c>
      <c r="K27" s="6" t="inlineStr">
        <is>
          <t>12:26:00</t>
        </is>
      </c>
      <c r="L27" s="5" t="inlineStr">
        <is>
          <t>Herida con sangrado moderado</t>
        </is>
      </c>
      <c r="M27" s="7" t="inlineStr">
        <is>
          <t>T4 · VERDE</t>
        </is>
      </c>
      <c r="N27" s="6" t="n">
        <v>20</v>
      </c>
      <c r="O27" s="6" t="n">
        <v>108</v>
      </c>
      <c r="P27" s="5" t="inlineStr">
        <is>
          <t>Felipe Herrera</t>
        </is>
      </c>
    </row>
    <row r="28">
      <c r="A28" s="4" t="n">
        <v>40</v>
      </c>
      <c r="B28" s="5" t="inlineStr">
        <is>
          <t>Luis Alvarado Pardo</t>
        </is>
      </c>
      <c r="C28" s="6" t="inlineStr">
        <is>
          <t>59512272</t>
        </is>
      </c>
      <c r="D28" s="6" t="inlineStr">
        <is>
          <t>M</t>
        </is>
      </c>
      <c r="E28" s="6" t="n">
        <v>19</v>
      </c>
      <c r="F28" s="6" t="inlineStr">
        <is>
          <t>Adulto</t>
        </is>
      </c>
      <c r="G28" s="6" t="inlineStr">
        <is>
          <t>2007-05-26</t>
        </is>
      </c>
      <c r="H28" s="5" t="inlineStr">
        <is>
          <t>ALIANSALUD</t>
        </is>
      </c>
      <c r="I28" s="6" t="inlineStr">
        <is>
          <t>3136233774</t>
        </is>
      </c>
      <c r="J28" s="6" t="inlineStr">
        <is>
          <t>3837296605</t>
        </is>
      </c>
      <c r="K28" s="6" t="inlineStr">
        <is>
          <t>12:29:00</t>
        </is>
      </c>
      <c r="L28" s="5" t="inlineStr">
        <is>
          <t>Fiebre alta con convulsión</t>
        </is>
      </c>
      <c r="M28" s="7" t="inlineStr">
        <is>
          <t>T4 · VERDE</t>
        </is>
      </c>
      <c r="N28" s="6" t="n">
        <v>25</v>
      </c>
      <c r="O28" s="6" t="n">
        <v>39</v>
      </c>
      <c r="P28" s="5" t="inlineStr">
        <is>
          <t>Carlos Ramírez</t>
        </is>
      </c>
    </row>
    <row r="29">
      <c r="A29" s="4" t="n">
        <v>58</v>
      </c>
      <c r="B29" s="5" t="inlineStr">
        <is>
          <t>Santiago Ríos Ospina</t>
        </is>
      </c>
      <c r="C29" s="6" t="inlineStr">
        <is>
          <t>83932360</t>
        </is>
      </c>
      <c r="D29" s="6" t="inlineStr">
        <is>
          <t>M</t>
        </is>
      </c>
      <c r="E29" s="6" t="n">
        <v>0</v>
      </c>
      <c r="F29" s="6" t="inlineStr">
        <is>
          <t>Neonato</t>
        </is>
      </c>
      <c r="G29" s="6" t="inlineStr">
        <is>
          <t>2026-05-26</t>
        </is>
      </c>
      <c r="H29" s="5" t="inlineStr">
        <is>
          <t>SANITAS</t>
        </is>
      </c>
      <c r="I29" s="6" t="inlineStr">
        <is>
          <t>3735896624</t>
        </is>
      </c>
      <c r="J29" s="6" t="inlineStr">
        <is>
          <t>3755587308</t>
        </is>
      </c>
      <c r="K29" s="6" t="inlineStr">
        <is>
          <t>12:57:00</t>
        </is>
      </c>
      <c r="L29" s="5" t="inlineStr">
        <is>
          <t>Dolor leve / Malestar general</t>
        </is>
      </c>
      <c r="M29" s="8" t="inlineStr">
        <is>
          <t>T5 · AZUL</t>
        </is>
      </c>
      <c r="N29" s="6" t="n">
        <v>15</v>
      </c>
      <c r="O29" s="6" t="n">
        <v>59</v>
      </c>
      <c r="P29" s="5" t="inlineStr">
        <is>
          <t>Carlos Ramírez</t>
        </is>
      </c>
    </row>
    <row r="30">
      <c r="A30" s="4" t="n">
        <v>44</v>
      </c>
      <c r="B30" s="5" t="inlineStr">
        <is>
          <t>Laura García Castro</t>
        </is>
      </c>
      <c r="C30" s="6" t="inlineStr">
        <is>
          <t>34406132</t>
        </is>
      </c>
      <c r="D30" s="6" t="inlineStr">
        <is>
          <t>F</t>
        </is>
      </c>
      <c r="E30" s="6" t="n">
        <v>56</v>
      </c>
      <c r="F30" s="6" t="inlineStr">
        <is>
          <t>Adulto</t>
        </is>
      </c>
      <c r="G30" s="6" t="inlineStr">
        <is>
          <t>1970-05-26</t>
        </is>
      </c>
      <c r="H30" s="5" t="inlineStr">
        <is>
          <t>SALUD TOTAL</t>
        </is>
      </c>
      <c r="I30" s="6" t="inlineStr">
        <is>
          <t>3342436347</t>
        </is>
      </c>
      <c r="J30" s="6" t="inlineStr">
        <is>
          <t>3407818732</t>
        </is>
      </c>
      <c r="K30" s="6" t="inlineStr">
        <is>
          <t>13:06:00</t>
        </is>
      </c>
      <c r="L30" s="5" t="inlineStr">
        <is>
          <t>Dolor abdominal agudo</t>
        </is>
      </c>
      <c r="M30" s="9" t="inlineStr">
        <is>
          <t>T3 · AMARILLO</t>
        </is>
      </c>
      <c r="N30" s="6" t="n">
        <v>30</v>
      </c>
      <c r="O30" s="6" t="n">
        <v>71</v>
      </c>
      <c r="P30" s="5" t="inlineStr">
        <is>
          <t>Carlos Ramírez</t>
        </is>
      </c>
    </row>
    <row r="31">
      <c r="A31" s="4" t="n">
        <v>53</v>
      </c>
      <c r="B31" s="5" t="inlineStr">
        <is>
          <t>Carlos Ríos Ospina</t>
        </is>
      </c>
      <c r="C31" s="6" t="inlineStr">
        <is>
          <t>89865458</t>
        </is>
      </c>
      <c r="D31" s="6" t="inlineStr">
        <is>
          <t>M</t>
        </is>
      </c>
      <c r="E31" s="6" t="n">
        <v>72</v>
      </c>
      <c r="F31" s="6" t="inlineStr">
        <is>
          <t>Adulto mayor</t>
        </is>
      </c>
      <c r="G31" s="6" t="inlineStr">
        <is>
          <t>1954-05-26</t>
        </is>
      </c>
      <c r="H31" s="5" t="inlineStr">
        <is>
          <t>CAJACOPI</t>
        </is>
      </c>
      <c r="I31" s="6" t="inlineStr">
        <is>
          <t>3449396529</t>
        </is>
      </c>
      <c r="J31" s="6" t="inlineStr">
        <is>
          <t>3799284509</t>
        </is>
      </c>
      <c r="K31" s="6" t="inlineStr">
        <is>
          <t>13:13:00</t>
        </is>
      </c>
      <c r="L31" s="5" t="inlineStr">
        <is>
          <t>Dolor abdominal agudo</t>
        </is>
      </c>
      <c r="M31" s="9" t="inlineStr">
        <is>
          <t>T3 · AMARILLO</t>
        </is>
      </c>
      <c r="N31" s="6" t="n">
        <v>30</v>
      </c>
      <c r="O31" s="6" t="n">
        <v>88</v>
      </c>
      <c r="P31" s="5" t="inlineStr">
        <is>
          <t>Andrés Martínez</t>
        </is>
      </c>
    </row>
    <row r="32">
      <c r="A32" s="4" t="n">
        <v>10</v>
      </c>
      <c r="B32" s="5" t="inlineStr">
        <is>
          <t>David Castro García</t>
        </is>
      </c>
      <c r="C32" s="6" t="inlineStr">
        <is>
          <t>12614124</t>
        </is>
      </c>
      <c r="D32" s="6" t="inlineStr">
        <is>
          <t>M</t>
        </is>
      </c>
      <c r="E32" s="6" t="n">
        <v>9</v>
      </c>
      <c r="F32" s="6" t="inlineStr">
        <is>
          <t>Menor de edad</t>
        </is>
      </c>
      <c r="G32" s="6" t="inlineStr">
        <is>
          <t>2017-05-26</t>
        </is>
      </c>
      <c r="H32" s="5" t="inlineStr">
        <is>
          <t>SURA</t>
        </is>
      </c>
      <c r="I32" s="6" t="inlineStr">
        <is>
          <t>3209153566</t>
        </is>
      </c>
      <c r="J32" s="6" t="inlineStr">
        <is>
          <t>3189937326</t>
        </is>
      </c>
      <c r="K32" s="6" t="inlineStr">
        <is>
          <t>13:18:00</t>
        </is>
      </c>
      <c r="L32" s="5" t="inlineStr">
        <is>
          <t>Dificultad respiratoria severa</t>
        </is>
      </c>
      <c r="M32" s="10" t="inlineStr">
        <is>
          <t>T2 · NARANJA</t>
        </is>
      </c>
      <c r="N32" s="6" t="n">
        <v>45</v>
      </c>
      <c r="O32" s="6" t="n">
        <v>112</v>
      </c>
      <c r="P32" s="5" t="inlineStr">
        <is>
          <t>Felipe Herrera</t>
        </is>
      </c>
    </row>
    <row r="33">
      <c r="A33" s="4" t="n">
        <v>46</v>
      </c>
      <c r="B33" s="5" t="inlineStr">
        <is>
          <t>Juliana Bernal Díaz</t>
        </is>
      </c>
      <c r="C33" s="6" t="inlineStr">
        <is>
          <t>54398056</t>
        </is>
      </c>
      <c r="D33" s="6" t="inlineStr">
        <is>
          <t>F</t>
        </is>
      </c>
      <c r="E33" s="6" t="n">
        <v>40</v>
      </c>
      <c r="F33" s="6" t="inlineStr">
        <is>
          <t>Adulto</t>
        </is>
      </c>
      <c r="G33" s="6" t="inlineStr">
        <is>
          <t>1986-05-26</t>
        </is>
      </c>
      <c r="H33" s="5" t="inlineStr">
        <is>
          <t>COOMEVA</t>
        </is>
      </c>
      <c r="I33" s="6" t="inlineStr">
        <is>
          <t>3259990305</t>
        </is>
      </c>
      <c r="J33" s="6" t="inlineStr">
        <is>
          <t>3984106298</t>
        </is>
      </c>
      <c r="K33" s="6" t="inlineStr">
        <is>
          <t>13:18:00</t>
        </is>
      </c>
      <c r="L33" s="5" t="inlineStr">
        <is>
          <t>Fractura con compromiso vascular</t>
        </is>
      </c>
      <c r="M33" s="9" t="inlineStr">
        <is>
          <t>T3 · AMARILLO</t>
        </is>
      </c>
      <c r="N33" s="6" t="n">
        <v>35</v>
      </c>
      <c r="O33" s="6" t="n">
        <v>92</v>
      </c>
      <c r="P33" s="5" t="inlineStr">
        <is>
          <t>Laura Gómez</t>
        </is>
      </c>
    </row>
    <row r="34">
      <c r="A34" s="4" t="n">
        <v>33</v>
      </c>
      <c r="B34" s="5" t="inlineStr">
        <is>
          <t>Ricardo López Muñoz</t>
        </is>
      </c>
      <c r="C34" s="6" t="inlineStr">
        <is>
          <t>81287314</t>
        </is>
      </c>
      <c r="D34" s="6" t="inlineStr">
        <is>
          <t>M</t>
        </is>
      </c>
      <c r="E34" s="6" t="n">
        <v>90</v>
      </c>
      <c r="F34" s="6" t="inlineStr">
        <is>
          <t>Anciano</t>
        </is>
      </c>
      <c r="G34" s="6" t="inlineStr">
        <is>
          <t>1936-05-26</t>
        </is>
      </c>
      <c r="H34" s="5" t="inlineStr">
        <is>
          <t>MEDIMAS</t>
        </is>
      </c>
      <c r="I34" s="6" t="inlineStr">
        <is>
          <t>3308963715</t>
        </is>
      </c>
      <c r="J34" s="6" t="inlineStr">
        <is>
          <t>3675348512</t>
        </is>
      </c>
      <c r="K34" s="6" t="inlineStr">
        <is>
          <t>13:53:00</t>
        </is>
      </c>
      <c r="L34" s="5" t="inlineStr">
        <is>
          <t>Herida con sangrado moderado</t>
        </is>
      </c>
      <c r="M34" s="7" t="inlineStr">
        <is>
          <t>T4 · VERDE</t>
        </is>
      </c>
      <c r="N34" s="6" t="n">
        <v>20</v>
      </c>
      <c r="O34" s="6" t="n">
        <v>106</v>
      </c>
      <c r="P34" s="5" t="inlineStr">
        <is>
          <t>Felipe Herrera</t>
        </is>
      </c>
    </row>
    <row r="35">
      <c r="A35" s="4" t="n">
        <v>2</v>
      </c>
      <c r="B35" s="5" t="inlineStr">
        <is>
          <t>Juan Medina Alvarado</t>
        </is>
      </c>
      <c r="C35" s="6" t="inlineStr">
        <is>
          <t>97226012</t>
        </is>
      </c>
      <c r="D35" s="6" t="inlineStr">
        <is>
          <t>M</t>
        </is>
      </c>
      <c r="E35" s="6" t="n">
        <v>70</v>
      </c>
      <c r="F35" s="6" t="inlineStr">
        <is>
          <t>Adulto mayor</t>
        </is>
      </c>
      <c r="G35" s="6" t="inlineStr">
        <is>
          <t>1956-05-26</t>
        </is>
      </c>
      <c r="H35" s="5" t="inlineStr">
        <is>
          <t>CAJACOPI</t>
        </is>
      </c>
      <c r="I35" s="6" t="inlineStr">
        <is>
          <t>3535661907</t>
        </is>
      </c>
      <c r="J35" s="6" t="inlineStr">
        <is>
          <t>3294612365</t>
        </is>
      </c>
      <c r="K35" s="6" t="inlineStr">
        <is>
          <t>13:54:00</t>
        </is>
      </c>
      <c r="L35" s="5" t="inlineStr">
        <is>
          <t>Fiebre alta con convulsión</t>
        </is>
      </c>
      <c r="M35" s="7" t="inlineStr">
        <is>
          <t>T4 · VERDE</t>
        </is>
      </c>
      <c r="N35" s="6" t="n">
        <v>25</v>
      </c>
      <c r="O35" s="6" t="n">
        <v>97</v>
      </c>
      <c r="P35" s="5" t="inlineStr">
        <is>
          <t>Laura Gómez</t>
        </is>
      </c>
    </row>
    <row r="36">
      <c r="A36" s="4" t="n">
        <v>8</v>
      </c>
      <c r="B36" s="5" t="inlineStr">
        <is>
          <t>Ricardo Muñoz Rodríguez</t>
        </is>
      </c>
      <c r="C36" s="6" t="inlineStr">
        <is>
          <t>90048665</t>
        </is>
      </c>
      <c r="D36" s="6" t="inlineStr">
        <is>
          <t>M</t>
        </is>
      </c>
      <c r="E36" s="6" t="n">
        <v>3</v>
      </c>
      <c r="F36" s="6" t="inlineStr">
        <is>
          <t>Infante</t>
        </is>
      </c>
      <c r="G36" s="6" t="inlineStr">
        <is>
          <t>2023-05-26</t>
        </is>
      </c>
      <c r="H36" s="5" t="inlineStr">
        <is>
          <t>SALUD TOTAL</t>
        </is>
      </c>
      <c r="I36" s="6" t="inlineStr">
        <is>
          <t>3446707197</t>
        </is>
      </c>
      <c r="J36" s="6" t="inlineStr">
        <is>
          <t>3245924115</t>
        </is>
      </c>
      <c r="K36" s="6" t="inlineStr">
        <is>
          <t>13:59:00</t>
        </is>
      </c>
      <c r="L36" s="5" t="inlineStr">
        <is>
          <t>Fractura con compromiso vascular</t>
        </is>
      </c>
      <c r="M36" s="9" t="inlineStr">
        <is>
          <t>T3 · AMARILLO</t>
        </is>
      </c>
      <c r="N36" s="6" t="n">
        <v>35</v>
      </c>
      <c r="O36" s="6" t="n">
        <v>87</v>
      </c>
      <c r="P36" s="5" t="inlineStr">
        <is>
          <t>Carlos Ramírez</t>
        </is>
      </c>
    </row>
    <row r="37">
      <c r="A37" s="4" t="n">
        <v>50</v>
      </c>
      <c r="B37" s="5" t="inlineStr">
        <is>
          <t>Juan Cárdenas Rodríguez</t>
        </is>
      </c>
      <c r="C37" s="6" t="inlineStr">
        <is>
          <t>91378577</t>
        </is>
      </c>
      <c r="D37" s="6" t="inlineStr">
        <is>
          <t>M</t>
        </is>
      </c>
      <c r="E37" s="6" t="n">
        <v>64</v>
      </c>
      <c r="F37" s="6" t="inlineStr">
        <is>
          <t>Adulto mayor</t>
        </is>
      </c>
      <c r="G37" s="6" t="inlineStr">
        <is>
          <t>1962-05-26</t>
        </is>
      </c>
      <c r="H37" s="5" t="inlineStr">
        <is>
          <t>CAJACOPI</t>
        </is>
      </c>
      <c r="I37" s="6" t="inlineStr">
        <is>
          <t>3492010496</t>
        </is>
      </c>
      <c r="J37" s="6" t="inlineStr">
        <is>
          <t>3882664863</t>
        </is>
      </c>
      <c r="K37" s="6" t="inlineStr">
        <is>
          <t>14:13:00</t>
        </is>
      </c>
      <c r="L37" s="5" t="inlineStr">
        <is>
          <t>Dolor abdominal agudo</t>
        </is>
      </c>
      <c r="M37" s="9" t="inlineStr">
        <is>
          <t>T3 · AMARILLO</t>
        </is>
      </c>
      <c r="N37" s="6" t="n">
        <v>30</v>
      </c>
      <c r="O37" s="6" t="n">
        <v>38</v>
      </c>
      <c r="P37" s="5" t="inlineStr">
        <is>
          <t>Felipe Herrera</t>
        </is>
      </c>
    </row>
    <row r="38">
      <c r="A38" s="4" t="n">
        <v>5</v>
      </c>
      <c r="B38" s="5" t="inlineStr">
        <is>
          <t>Natalia Muñoz Pardo</t>
        </is>
      </c>
      <c r="C38" s="6" t="inlineStr">
        <is>
          <t>96977837</t>
        </is>
      </c>
      <c r="D38" s="6" t="inlineStr">
        <is>
          <t>F</t>
        </is>
      </c>
      <c r="E38" s="6" t="n">
        <v>4</v>
      </c>
      <c r="F38" s="6" t="inlineStr">
        <is>
          <t>Infante</t>
        </is>
      </c>
      <c r="G38" s="6" t="inlineStr">
        <is>
          <t>2022-05-26</t>
        </is>
      </c>
      <c r="H38" s="5" t="inlineStr">
        <is>
          <t>FAMISANAR</t>
        </is>
      </c>
      <c r="I38" s="6" t="inlineStr">
        <is>
          <t>3914684531</t>
        </is>
      </c>
      <c r="J38" s="6" t="inlineStr">
        <is>
          <t>3976440561</t>
        </is>
      </c>
      <c r="K38" s="6" t="inlineStr">
        <is>
          <t>14:16:00</t>
        </is>
      </c>
      <c r="L38" s="5" t="inlineStr">
        <is>
          <t>Fiebre alta con convulsión</t>
        </is>
      </c>
      <c r="M38" s="7" t="inlineStr">
        <is>
          <t>T4 · VERDE</t>
        </is>
      </c>
      <c r="N38" s="6" t="n">
        <v>25</v>
      </c>
      <c r="O38" s="6" t="n">
        <v>59</v>
      </c>
      <c r="P38" s="5" t="inlineStr">
        <is>
          <t>Sofía Torres</t>
        </is>
      </c>
    </row>
    <row r="39">
      <c r="A39" s="4" t="n">
        <v>35</v>
      </c>
      <c r="B39" s="5" t="inlineStr">
        <is>
          <t>Miguel Alvarado Herrera</t>
        </is>
      </c>
      <c r="C39" s="6" t="inlineStr">
        <is>
          <t>38716269</t>
        </is>
      </c>
      <c r="D39" s="6" t="inlineStr">
        <is>
          <t>M</t>
        </is>
      </c>
      <c r="E39" s="6" t="n">
        <v>3</v>
      </c>
      <c r="F39" s="6" t="inlineStr">
        <is>
          <t>Infante</t>
        </is>
      </c>
      <c r="G39" s="6" t="inlineStr">
        <is>
          <t>2023-05-26</t>
        </is>
      </c>
      <c r="H39" s="5" t="inlineStr">
        <is>
          <t>CAJACOPI</t>
        </is>
      </c>
      <c r="I39" s="6" t="inlineStr">
        <is>
          <t>3841327691</t>
        </is>
      </c>
      <c r="J39" s="6" t="inlineStr">
        <is>
          <t>3837381734</t>
        </is>
      </c>
      <c r="K39" s="6" t="inlineStr">
        <is>
          <t>14:18:00</t>
        </is>
      </c>
      <c r="L39" s="5" t="inlineStr">
        <is>
          <t>Fractura con compromiso vascular</t>
        </is>
      </c>
      <c r="M39" s="9" t="inlineStr">
        <is>
          <t>T3 · AMARILLO</t>
        </is>
      </c>
      <c r="N39" s="6" t="n">
        <v>35</v>
      </c>
      <c r="O39" s="6" t="n">
        <v>26</v>
      </c>
      <c r="P39" s="5" t="inlineStr">
        <is>
          <t>Sofía Torres</t>
        </is>
      </c>
    </row>
    <row r="40">
      <c r="A40" s="4" t="n">
        <v>7</v>
      </c>
      <c r="B40" s="5" t="inlineStr">
        <is>
          <t>Jorge Bernal Díaz</t>
        </is>
      </c>
      <c r="C40" s="6" t="inlineStr">
        <is>
          <t>82340307</t>
        </is>
      </c>
      <c r="D40" s="6" t="inlineStr">
        <is>
          <t>M</t>
        </is>
      </c>
      <c r="E40" s="6" t="n">
        <v>30</v>
      </c>
      <c r="F40" s="6" t="inlineStr">
        <is>
          <t>Adulto</t>
        </is>
      </c>
      <c r="G40" s="6" t="inlineStr">
        <is>
          <t>1996-05-26</t>
        </is>
      </c>
      <c r="H40" s="5" t="inlineStr">
        <is>
          <t>MEDIMAS</t>
        </is>
      </c>
      <c r="I40" s="6" t="inlineStr">
        <is>
          <t>3211790481</t>
        </is>
      </c>
      <c r="J40" s="6" t="inlineStr">
        <is>
          <t>3243564251</t>
        </is>
      </c>
      <c r="K40" s="6" t="inlineStr">
        <is>
          <t>14:29:00</t>
        </is>
      </c>
      <c r="L40" s="5" t="inlineStr">
        <is>
          <t>Fractura con compromiso vascular</t>
        </is>
      </c>
      <c r="M40" s="9" t="inlineStr">
        <is>
          <t>T3 · AMARILLO</t>
        </is>
      </c>
      <c r="N40" s="6" t="n">
        <v>35</v>
      </c>
      <c r="O40" s="6" t="n">
        <v>17</v>
      </c>
      <c r="P40" s="5" t="inlineStr">
        <is>
          <t>Felipe Herrera</t>
        </is>
      </c>
    </row>
    <row r="41">
      <c r="A41" s="4" t="n">
        <v>11</v>
      </c>
      <c r="B41" s="5" t="inlineStr">
        <is>
          <t>Felipe Muñoz García</t>
        </is>
      </c>
      <c r="C41" s="6" t="inlineStr">
        <is>
          <t>83793389</t>
        </is>
      </c>
      <c r="D41" s="6" t="inlineStr">
        <is>
          <t>M</t>
        </is>
      </c>
      <c r="E41" s="6" t="n">
        <v>19</v>
      </c>
      <c r="F41" s="6" t="inlineStr">
        <is>
          <t>Adulto</t>
        </is>
      </c>
      <c r="G41" s="6" t="inlineStr">
        <is>
          <t>2007-05-26</t>
        </is>
      </c>
      <c r="H41" s="5" t="inlineStr">
        <is>
          <t>COMPENSAR</t>
        </is>
      </c>
      <c r="I41" s="6" t="inlineStr">
        <is>
          <t>3497693979</t>
        </is>
      </c>
      <c r="J41" s="6" t="inlineStr">
        <is>
          <t>3957264956</t>
        </is>
      </c>
      <c r="K41" s="6" t="inlineStr">
        <is>
          <t>14:35:00</t>
        </is>
      </c>
      <c r="L41" s="5" t="inlineStr">
        <is>
          <t>Fractura con compromiso vascular</t>
        </is>
      </c>
      <c r="M41" s="9" t="inlineStr">
        <is>
          <t>T3 · AMARILLO</t>
        </is>
      </c>
      <c r="N41" s="6" t="n">
        <v>35</v>
      </c>
      <c r="O41" s="6" t="n">
        <v>118</v>
      </c>
      <c r="P41" s="5" t="inlineStr">
        <is>
          <t>Felipe Herrera</t>
        </is>
      </c>
    </row>
    <row r="42">
      <c r="A42" s="4" t="n">
        <v>28</v>
      </c>
      <c r="B42" s="5" t="inlineStr">
        <is>
          <t>Daniel Rodríguez Martínez</t>
        </is>
      </c>
      <c r="C42" s="6" t="inlineStr">
        <is>
          <t>99152472</t>
        </is>
      </c>
      <c r="D42" s="6" t="inlineStr">
        <is>
          <t>M</t>
        </is>
      </c>
      <c r="E42" s="6" t="n">
        <v>85</v>
      </c>
      <c r="F42" s="6" t="inlineStr">
        <is>
          <t>Anciano</t>
        </is>
      </c>
      <c r="G42" s="6" t="inlineStr">
        <is>
          <t>1941-05-26</t>
        </is>
      </c>
      <c r="H42" s="5" t="inlineStr">
        <is>
          <t>CAJACOPI</t>
        </is>
      </c>
      <c r="I42" s="6" t="inlineStr">
        <is>
          <t>3517751158</t>
        </is>
      </c>
      <c r="J42" s="6" t="inlineStr">
        <is>
          <t>3995960271</t>
        </is>
      </c>
      <c r="K42" s="6" t="inlineStr">
        <is>
          <t>14:49:00</t>
        </is>
      </c>
      <c r="L42" s="5" t="inlineStr">
        <is>
          <t>Herida con sangrado moderado</t>
        </is>
      </c>
      <c r="M42" s="7" t="inlineStr">
        <is>
          <t>T4 · VERDE</t>
        </is>
      </c>
      <c r="N42" s="6" t="n">
        <v>20</v>
      </c>
      <c r="O42" s="6" t="n">
        <v>64</v>
      </c>
      <c r="P42" s="5" t="inlineStr">
        <is>
          <t>Andrés Martínez</t>
        </is>
      </c>
    </row>
    <row r="43">
      <c r="A43" s="4" t="n">
        <v>26</v>
      </c>
      <c r="B43" s="5" t="inlineStr">
        <is>
          <t>Daniela Pardo Martínez</t>
        </is>
      </c>
      <c r="C43" s="6" t="inlineStr">
        <is>
          <t>47463522</t>
        </is>
      </c>
      <c r="D43" s="6" t="inlineStr">
        <is>
          <t>F</t>
        </is>
      </c>
      <c r="E43" s="6" t="n">
        <v>40</v>
      </c>
      <c r="F43" s="6" t="inlineStr">
        <is>
          <t>Adulto</t>
        </is>
      </c>
      <c r="G43" s="6" t="inlineStr">
        <is>
          <t>1986-05-26</t>
        </is>
      </c>
      <c r="H43" s="5" t="inlineStr">
        <is>
          <t>SURA</t>
        </is>
      </c>
      <c r="I43" s="6" t="inlineStr">
        <is>
          <t>3433995870</t>
        </is>
      </c>
      <c r="J43" s="6" t="inlineStr">
        <is>
          <t>3845453786</t>
        </is>
      </c>
      <c r="K43" s="6" t="inlineStr">
        <is>
          <t>14:53:00</t>
        </is>
      </c>
      <c r="L43" s="5" t="inlineStr">
        <is>
          <t>Consulta menor (gripe, tos)</t>
        </is>
      </c>
      <c r="M43" s="8" t="inlineStr">
        <is>
          <t>T5 · AZUL</t>
        </is>
      </c>
      <c r="N43" s="6" t="n">
        <v>10</v>
      </c>
      <c r="O43" s="6" t="n">
        <v>120</v>
      </c>
      <c r="P43" s="5" t="inlineStr">
        <is>
          <t>Carlos Ramírez</t>
        </is>
      </c>
    </row>
    <row r="44">
      <c r="A44" s="4" t="n">
        <v>55</v>
      </c>
      <c r="B44" s="5" t="inlineStr">
        <is>
          <t>Fernanda Pardo Ríos</t>
        </is>
      </c>
      <c r="C44" s="6" t="inlineStr">
        <is>
          <t>88561612</t>
        </is>
      </c>
      <c r="D44" s="6" t="inlineStr">
        <is>
          <t>F</t>
        </is>
      </c>
      <c r="E44" s="6" t="n">
        <v>50</v>
      </c>
      <c r="F44" s="6" t="inlineStr">
        <is>
          <t>Adulto</t>
        </is>
      </c>
      <c r="G44" s="6" t="inlineStr">
        <is>
          <t>1976-05-26</t>
        </is>
      </c>
      <c r="H44" s="5" t="inlineStr">
        <is>
          <t>SURA</t>
        </is>
      </c>
      <c r="I44" s="6" t="inlineStr">
        <is>
          <t>3306533187</t>
        </is>
      </c>
      <c r="J44" s="6" t="inlineStr">
        <is>
          <t>3629312590</t>
        </is>
      </c>
      <c r="K44" s="6" t="inlineStr">
        <is>
          <t>15:23:00</t>
        </is>
      </c>
      <c r="L44" s="5" t="inlineStr">
        <is>
          <t>Dolor abdominal agudo</t>
        </is>
      </c>
      <c r="M44" s="9" t="inlineStr">
        <is>
          <t>T3 · AMARILLO</t>
        </is>
      </c>
      <c r="N44" s="6" t="n">
        <v>30</v>
      </c>
      <c r="O44" s="6" t="n">
        <v>42</v>
      </c>
      <c r="P44" s="5" t="inlineStr">
        <is>
          <t>Andrés Martínez</t>
        </is>
      </c>
    </row>
    <row r="45">
      <c r="A45" s="4" t="n">
        <v>60</v>
      </c>
      <c r="B45" s="5" t="inlineStr">
        <is>
          <t>Sebastián Bernal Ospina</t>
        </is>
      </c>
      <c r="C45" s="6" t="inlineStr">
        <is>
          <t>88777447</t>
        </is>
      </c>
      <c r="D45" s="6" t="inlineStr">
        <is>
          <t>M</t>
        </is>
      </c>
      <c r="E45" s="6" t="n">
        <v>63</v>
      </c>
      <c r="F45" s="6" t="inlineStr">
        <is>
          <t>Adulto mayor</t>
        </is>
      </c>
      <c r="G45" s="6" t="inlineStr">
        <is>
          <t>1963-05-26</t>
        </is>
      </c>
      <c r="H45" s="5" t="inlineStr">
        <is>
          <t>SALUD TOTAL</t>
        </is>
      </c>
      <c r="I45" s="6" t="inlineStr">
        <is>
          <t>3797328534</t>
        </is>
      </c>
      <c r="J45" s="6" t="inlineStr">
        <is>
          <t>3686398528</t>
        </is>
      </c>
      <c r="K45" s="6" t="inlineStr">
        <is>
          <t>15:38:00</t>
        </is>
      </c>
      <c r="L45" s="5" t="inlineStr">
        <is>
          <t>Dolor abdominal agudo</t>
        </is>
      </c>
      <c r="M45" s="9" t="inlineStr">
        <is>
          <t>T3 · AMARILLO</t>
        </is>
      </c>
      <c r="N45" s="6" t="n">
        <v>30</v>
      </c>
      <c r="O45" s="6" t="n">
        <v>44</v>
      </c>
      <c r="P45" s="5" t="inlineStr">
        <is>
          <t>Andrés Martínez</t>
        </is>
      </c>
    </row>
    <row r="46">
      <c r="A46" s="4" t="n">
        <v>30</v>
      </c>
      <c r="B46" s="5" t="inlineStr">
        <is>
          <t>Mariana López Muñoz</t>
        </is>
      </c>
      <c r="C46" s="6" t="inlineStr">
        <is>
          <t>38682516</t>
        </is>
      </c>
      <c r="D46" s="6" t="inlineStr">
        <is>
          <t>F</t>
        </is>
      </c>
      <c r="E46" s="6" t="n">
        <v>58</v>
      </c>
      <c r="F46" s="6" t="inlineStr">
        <is>
          <t>Adulto</t>
        </is>
      </c>
      <c r="G46" s="6" t="inlineStr">
        <is>
          <t>1968-05-26</t>
        </is>
      </c>
      <c r="H46" s="5" t="inlineStr">
        <is>
          <t>COOMEVA</t>
        </is>
      </c>
      <c r="I46" s="6" t="inlineStr">
        <is>
          <t>3214940441</t>
        </is>
      </c>
      <c r="J46" s="6" t="inlineStr">
        <is>
          <t>3966207974</t>
        </is>
      </c>
      <c r="K46" s="6" t="inlineStr">
        <is>
          <t>15:43:00</t>
        </is>
      </c>
      <c r="L46" s="5" t="inlineStr">
        <is>
          <t>Herida con sangrado moderado</t>
        </is>
      </c>
      <c r="M46" s="7" t="inlineStr">
        <is>
          <t>T4 · VERDE</t>
        </is>
      </c>
      <c r="N46" s="6" t="n">
        <v>20</v>
      </c>
      <c r="O46" s="6" t="n">
        <v>65</v>
      </c>
      <c r="P46" s="5" t="inlineStr">
        <is>
          <t>Felipe Herrera</t>
        </is>
      </c>
    </row>
    <row r="47">
      <c r="A47" s="4" t="n">
        <v>57</v>
      </c>
      <c r="B47" s="5" t="inlineStr">
        <is>
          <t>Juan Jiménez Cruz</t>
        </is>
      </c>
      <c r="C47" s="6" t="inlineStr">
        <is>
          <t>76906611</t>
        </is>
      </c>
      <c r="D47" s="6" t="inlineStr">
        <is>
          <t>M</t>
        </is>
      </c>
      <c r="E47" s="6" t="n">
        <v>65</v>
      </c>
      <c r="F47" s="6" t="inlineStr">
        <is>
          <t>Adulto mayor</t>
        </is>
      </c>
      <c r="G47" s="6" t="inlineStr">
        <is>
          <t>1961-05-26</t>
        </is>
      </c>
      <c r="H47" s="5" t="inlineStr">
        <is>
          <t>MEDIMAS</t>
        </is>
      </c>
      <c r="I47" s="6" t="inlineStr">
        <is>
          <t>3999132114</t>
        </is>
      </c>
      <c r="J47" s="6" t="inlineStr">
        <is>
          <t>3251484348</t>
        </is>
      </c>
      <c r="K47" s="6" t="inlineStr">
        <is>
          <t>15:52:00</t>
        </is>
      </c>
      <c r="L47" s="5" t="inlineStr">
        <is>
          <t>Dificultad respiratoria severa</t>
        </is>
      </c>
      <c r="M47" s="10" t="inlineStr">
        <is>
          <t>T2 · NARANJA</t>
        </is>
      </c>
      <c r="N47" s="6" t="n">
        <v>45</v>
      </c>
      <c r="O47" s="6" t="n">
        <v>118</v>
      </c>
      <c r="P47" s="5" t="inlineStr">
        <is>
          <t>Andrés Martínez</t>
        </is>
      </c>
    </row>
    <row r="48">
      <c r="A48" s="4" t="n">
        <v>13</v>
      </c>
      <c r="B48" s="5" t="inlineStr">
        <is>
          <t>Camilo Castro Martínez</t>
        </is>
      </c>
      <c r="C48" s="6" t="inlineStr">
        <is>
          <t>79008866</t>
        </is>
      </c>
      <c r="D48" s="6" t="inlineStr">
        <is>
          <t>M</t>
        </is>
      </c>
      <c r="E48" s="6" t="n">
        <v>27</v>
      </c>
      <c r="F48" s="6" t="inlineStr">
        <is>
          <t>Adulto</t>
        </is>
      </c>
      <c r="G48" s="6" t="inlineStr">
        <is>
          <t>1999-05-26</t>
        </is>
      </c>
      <c r="H48" s="5" t="inlineStr">
        <is>
          <t>CAJACOPI</t>
        </is>
      </c>
      <c r="I48" s="6" t="inlineStr">
        <is>
          <t>3342582524</t>
        </is>
      </c>
      <c r="J48" s="6" t="inlineStr">
        <is>
          <t>3228231838</t>
        </is>
      </c>
      <c r="K48" s="6" t="inlineStr">
        <is>
          <t>15:54:00</t>
        </is>
      </c>
      <c r="L48" s="5" t="inlineStr">
        <is>
          <t>Dolor abdominal agudo</t>
        </is>
      </c>
      <c r="M48" s="9" t="inlineStr">
        <is>
          <t>T3 · AMARILLO</t>
        </is>
      </c>
      <c r="N48" s="6" t="n">
        <v>30</v>
      </c>
      <c r="O48" s="6" t="n">
        <v>31</v>
      </c>
      <c r="P48" s="5" t="inlineStr">
        <is>
          <t>Sofía Torres</t>
        </is>
      </c>
    </row>
    <row r="49">
      <c r="A49" s="4" t="n">
        <v>20</v>
      </c>
      <c r="B49" s="5" t="inlineStr">
        <is>
          <t>Nicolás Vargas Jiménez</t>
        </is>
      </c>
      <c r="C49" s="6" t="inlineStr">
        <is>
          <t>48250360</t>
        </is>
      </c>
      <c r="D49" s="6" t="inlineStr">
        <is>
          <t>M</t>
        </is>
      </c>
      <c r="E49" s="6" t="n">
        <v>18</v>
      </c>
      <c r="F49" s="6" t="inlineStr">
        <is>
          <t>Adulto</t>
        </is>
      </c>
      <c r="G49" s="6" t="inlineStr">
        <is>
          <t>2008-05-26</t>
        </is>
      </c>
      <c r="H49" s="5" t="inlineStr">
        <is>
          <t>FAMISANAR</t>
        </is>
      </c>
      <c r="I49" s="6" t="inlineStr">
        <is>
          <t>3942737893</t>
        </is>
      </c>
      <c r="J49" s="6" t="inlineStr">
        <is>
          <t>3275437001</t>
        </is>
      </c>
      <c r="K49" s="6" t="inlineStr">
        <is>
          <t>16:17:00</t>
        </is>
      </c>
      <c r="L49" s="5" t="inlineStr">
        <is>
          <t>Fractura con compromiso vascular</t>
        </is>
      </c>
      <c r="M49" s="9" t="inlineStr">
        <is>
          <t>T3 · AMARILLO</t>
        </is>
      </c>
      <c r="N49" s="6" t="n">
        <v>35</v>
      </c>
      <c r="O49" s="6" t="n">
        <v>85</v>
      </c>
      <c r="P49" s="5" t="inlineStr">
        <is>
          <t>Felipe Herrera</t>
        </is>
      </c>
    </row>
    <row r="50">
      <c r="A50" s="4" t="n">
        <v>9</v>
      </c>
      <c r="B50" s="5" t="inlineStr">
        <is>
          <t>Valentina López Ramírez</t>
        </is>
      </c>
      <c r="C50" s="6" t="inlineStr">
        <is>
          <t>45351479</t>
        </is>
      </c>
      <c r="D50" s="6" t="inlineStr">
        <is>
          <t>F</t>
        </is>
      </c>
      <c r="E50" s="6" t="n">
        <v>88</v>
      </c>
      <c r="F50" s="6" t="inlineStr">
        <is>
          <t>Anciano</t>
        </is>
      </c>
      <c r="G50" s="6" t="inlineStr">
        <is>
          <t>1938-05-26</t>
        </is>
      </c>
      <c r="H50" s="5" t="inlineStr">
        <is>
          <t>ALIANSALUD</t>
        </is>
      </c>
      <c r="I50" s="6" t="inlineStr">
        <is>
          <t>3353564217</t>
        </is>
      </c>
      <c r="J50" s="6" t="inlineStr">
        <is>
          <t>3573710343</t>
        </is>
      </c>
      <c r="K50" s="6" t="inlineStr">
        <is>
          <t>17:09:00</t>
        </is>
      </c>
      <c r="L50" s="5" t="inlineStr">
        <is>
          <t>Consulta menor (gripe, tos)</t>
        </is>
      </c>
      <c r="M50" s="8" t="inlineStr">
        <is>
          <t>T5 · AZUL</t>
        </is>
      </c>
      <c r="N50" s="6" t="n">
        <v>10</v>
      </c>
      <c r="O50" s="6" t="n">
        <v>107</v>
      </c>
      <c r="P50" s="5" t="inlineStr">
        <is>
          <t>Felipe Herrera</t>
        </is>
      </c>
    </row>
    <row r="51">
      <c r="A51" s="4" t="n">
        <v>43</v>
      </c>
      <c r="B51" s="5" t="inlineStr">
        <is>
          <t>Alejandra Díaz Cárdenas</t>
        </is>
      </c>
      <c r="C51" s="6" t="inlineStr">
        <is>
          <t>74893936</t>
        </is>
      </c>
      <c r="D51" s="6" t="inlineStr">
        <is>
          <t>F</t>
        </is>
      </c>
      <c r="E51" s="6" t="n">
        <v>53</v>
      </c>
      <c r="F51" s="6" t="inlineStr">
        <is>
          <t>Adulto</t>
        </is>
      </c>
      <c r="G51" s="6" t="inlineStr">
        <is>
          <t>1973-05-26</t>
        </is>
      </c>
      <c r="H51" s="5" t="inlineStr">
        <is>
          <t>FAMISANAR</t>
        </is>
      </c>
      <c r="I51" s="6" t="inlineStr">
        <is>
          <t>3675091349</t>
        </is>
      </c>
      <c r="J51" s="6" t="inlineStr">
        <is>
          <t>3697358385</t>
        </is>
      </c>
      <c r="K51" s="6" t="inlineStr">
        <is>
          <t>17:31:00</t>
        </is>
      </c>
      <c r="L51" s="5" t="inlineStr">
        <is>
          <t>Dificultad respiratoria severa</t>
        </is>
      </c>
      <c r="M51" s="10" t="inlineStr">
        <is>
          <t>T2 · NARANJA</t>
        </is>
      </c>
      <c r="N51" s="6" t="n">
        <v>45</v>
      </c>
      <c r="O51" s="6" t="n">
        <v>106</v>
      </c>
      <c r="P51" s="5" t="inlineStr">
        <is>
          <t>Carlos Ramírez</t>
        </is>
      </c>
    </row>
    <row r="52">
      <c r="A52" s="4" t="n">
        <v>1</v>
      </c>
      <c r="B52" s="5" t="inlineStr">
        <is>
          <t>Carlos Bernal Pardo</t>
        </is>
      </c>
      <c r="C52" s="6" t="inlineStr">
        <is>
          <t>42868828</t>
        </is>
      </c>
      <c r="D52" s="6" t="inlineStr">
        <is>
          <t>M</t>
        </is>
      </c>
      <c r="E52" s="6" t="n">
        <v>26</v>
      </c>
      <c r="F52" s="6" t="inlineStr">
        <is>
          <t>Adulto</t>
        </is>
      </c>
      <c r="G52" s="6" t="inlineStr">
        <is>
          <t>2000-05-26</t>
        </is>
      </c>
      <c r="H52" s="5" t="inlineStr">
        <is>
          <t>NUEVA EPS</t>
        </is>
      </c>
      <c r="I52" s="6" t="inlineStr">
        <is>
          <t>3132571945</t>
        </is>
      </c>
      <c r="J52" s="6" t="inlineStr">
        <is>
          <t>3374903402</t>
        </is>
      </c>
      <c r="K52" s="6" t="inlineStr">
        <is>
          <t>17:53:00</t>
        </is>
      </c>
      <c r="L52" s="5" t="inlineStr">
        <is>
          <t>Fiebre alta con convulsión</t>
        </is>
      </c>
      <c r="M52" s="7" t="inlineStr">
        <is>
          <t>T4 · VERDE</t>
        </is>
      </c>
      <c r="N52" s="6" t="n">
        <v>25</v>
      </c>
      <c r="O52" s="6" t="n">
        <v>75</v>
      </c>
      <c r="P52" s="5" t="inlineStr">
        <is>
          <t>Sofía Torres</t>
        </is>
      </c>
    </row>
    <row r="53">
      <c r="A53" s="4" t="n">
        <v>19</v>
      </c>
      <c r="B53" s="5" t="inlineStr">
        <is>
          <t>Valentina Muñoz Moreno</t>
        </is>
      </c>
      <c r="C53" s="6" t="inlineStr">
        <is>
          <t>50264926</t>
        </is>
      </c>
      <c r="D53" s="6" t="inlineStr">
        <is>
          <t>F</t>
        </is>
      </c>
      <c r="E53" s="6" t="n">
        <v>52</v>
      </c>
      <c r="F53" s="6" t="inlineStr">
        <is>
          <t>Adulto</t>
        </is>
      </c>
      <c r="G53" s="6" t="inlineStr">
        <is>
          <t>1974-05-26</t>
        </is>
      </c>
      <c r="H53" s="5" t="inlineStr">
        <is>
          <t>COMPENSAR</t>
        </is>
      </c>
      <c r="I53" s="6" t="inlineStr">
        <is>
          <t>3745449324</t>
        </is>
      </c>
      <c r="J53" s="6" t="inlineStr">
        <is>
          <t>3266855396</t>
        </is>
      </c>
      <c r="K53" s="6" t="inlineStr">
        <is>
          <t>18:18:00</t>
        </is>
      </c>
      <c r="L53" s="5" t="inlineStr">
        <is>
          <t>Paro cardiorrespiratorio</t>
        </is>
      </c>
      <c r="M53" s="11" t="inlineStr">
        <is>
          <t>T1 · ROJO</t>
        </is>
      </c>
      <c r="N53" s="6" t="n">
        <v>60</v>
      </c>
      <c r="O53" s="6" t="n">
        <v>9</v>
      </c>
      <c r="P53" s="5" t="inlineStr">
        <is>
          <t>Felipe Herrera</t>
        </is>
      </c>
    </row>
    <row r="54">
      <c r="A54" s="4" t="n">
        <v>14</v>
      </c>
      <c r="B54" s="5" t="inlineStr">
        <is>
          <t>Juliana Rodríguez López</t>
        </is>
      </c>
      <c r="C54" s="6" t="inlineStr">
        <is>
          <t>17270733</t>
        </is>
      </c>
      <c r="D54" s="6" t="inlineStr">
        <is>
          <t>F</t>
        </is>
      </c>
      <c r="E54" s="6" t="n">
        <v>68</v>
      </c>
      <c r="F54" s="6" t="inlineStr">
        <is>
          <t>Adulto mayor</t>
        </is>
      </c>
      <c r="G54" s="6" t="inlineStr">
        <is>
          <t>1958-05-26</t>
        </is>
      </c>
      <c r="H54" s="5" t="inlineStr">
        <is>
          <t>COMPENSAR</t>
        </is>
      </c>
      <c r="I54" s="6" t="inlineStr">
        <is>
          <t>3344191175</t>
        </is>
      </c>
      <c r="J54" s="6" t="inlineStr">
        <is>
          <t>3788526486</t>
        </is>
      </c>
      <c r="K54" s="6" t="inlineStr">
        <is>
          <t>18:25:00</t>
        </is>
      </c>
      <c r="L54" s="5" t="inlineStr">
        <is>
          <t>Politraumatismo grave</t>
        </is>
      </c>
      <c r="M54" s="11" t="inlineStr">
        <is>
          <t>T1 · ROJO</t>
        </is>
      </c>
      <c r="N54" s="6" t="n">
        <v>90</v>
      </c>
      <c r="O54" s="6" t="n">
        <v>102</v>
      </c>
      <c r="P54" s="5" t="inlineStr">
        <is>
          <t>Carlos Ramírez</t>
        </is>
      </c>
    </row>
    <row r="55">
      <c r="A55" s="4" t="n">
        <v>32</v>
      </c>
      <c r="B55" s="5" t="inlineStr">
        <is>
          <t>Felipe Moreno Alvarado</t>
        </is>
      </c>
      <c r="C55" s="6" t="inlineStr">
        <is>
          <t>10744212</t>
        </is>
      </c>
      <c r="D55" s="6" t="inlineStr">
        <is>
          <t>M</t>
        </is>
      </c>
      <c r="E55" s="6" t="n">
        <v>82</v>
      </c>
      <c r="F55" s="6" t="inlineStr">
        <is>
          <t>Anciano</t>
        </is>
      </c>
      <c r="G55" s="6" t="inlineStr">
        <is>
          <t>1944-05-26</t>
        </is>
      </c>
      <c r="H55" s="5" t="inlineStr">
        <is>
          <t>MEDIMAS</t>
        </is>
      </c>
      <c r="I55" s="6" t="inlineStr">
        <is>
          <t>3165180853</t>
        </is>
      </c>
      <c r="J55" s="6" t="inlineStr">
        <is>
          <t>3258658158</t>
        </is>
      </c>
      <c r="K55" s="6" t="inlineStr">
        <is>
          <t>18:27:00</t>
        </is>
      </c>
      <c r="L55" s="5" t="inlineStr">
        <is>
          <t>Fiebre alta con convulsión</t>
        </is>
      </c>
      <c r="M55" s="7" t="inlineStr">
        <is>
          <t>T4 · VERDE</t>
        </is>
      </c>
      <c r="N55" s="6" t="n">
        <v>25</v>
      </c>
      <c r="O55" s="6" t="n">
        <v>22</v>
      </c>
      <c r="P55" s="5" t="inlineStr">
        <is>
          <t>Felipe Herrera</t>
        </is>
      </c>
    </row>
    <row r="56">
      <c r="A56" s="4" t="n">
        <v>25</v>
      </c>
      <c r="B56" s="5" t="inlineStr">
        <is>
          <t>Valentina Alvarado Torres</t>
        </is>
      </c>
      <c r="C56" s="6" t="inlineStr">
        <is>
          <t>61343880</t>
        </is>
      </c>
      <c r="D56" s="6" t="inlineStr">
        <is>
          <t>F</t>
        </is>
      </c>
      <c r="E56" s="6" t="n">
        <v>81</v>
      </c>
      <c r="F56" s="6" t="inlineStr">
        <is>
          <t>Anciano</t>
        </is>
      </c>
      <c r="G56" s="6" t="inlineStr">
        <is>
          <t>1945-05-26</t>
        </is>
      </c>
      <c r="H56" s="5" t="inlineStr">
        <is>
          <t>COMPENSAR</t>
        </is>
      </c>
      <c r="I56" s="6" t="inlineStr">
        <is>
          <t>3381397023</t>
        </is>
      </c>
      <c r="J56" s="6" t="inlineStr">
        <is>
          <t>3944240180</t>
        </is>
      </c>
      <c r="K56" s="6" t="inlineStr">
        <is>
          <t>18:56:00</t>
        </is>
      </c>
      <c r="L56" s="5" t="inlineStr">
        <is>
          <t>ACV / Derrame cerebral</t>
        </is>
      </c>
      <c r="M56" s="10" t="inlineStr">
        <is>
          <t>T2 · NARANJA</t>
        </is>
      </c>
      <c r="N56" s="6" t="n">
        <v>50</v>
      </c>
      <c r="O56" s="6" t="n">
        <v>44</v>
      </c>
      <c r="P56" s="5" t="inlineStr">
        <is>
          <t>Andrés Martínez</t>
        </is>
      </c>
    </row>
    <row r="57">
      <c r="A57" s="4" t="n">
        <v>24</v>
      </c>
      <c r="B57" s="5" t="inlineStr">
        <is>
          <t>Ana Díaz Rodríguez</t>
        </is>
      </c>
      <c r="C57" s="6" t="inlineStr">
        <is>
          <t>93303777</t>
        </is>
      </c>
      <c r="D57" s="6" t="inlineStr">
        <is>
          <t>F</t>
        </is>
      </c>
      <c r="E57" s="6" t="n">
        <v>72</v>
      </c>
      <c r="F57" s="6" t="inlineStr">
        <is>
          <t>Adulto mayor</t>
        </is>
      </c>
      <c r="G57" s="6" t="inlineStr">
        <is>
          <t>1954-05-26</t>
        </is>
      </c>
      <c r="H57" s="5" t="inlineStr">
        <is>
          <t>NUEVA EPS</t>
        </is>
      </c>
      <c r="I57" s="6" t="inlineStr">
        <is>
          <t>3326573147</t>
        </is>
      </c>
      <c r="J57" s="6" t="inlineStr">
        <is>
          <t>3625163555</t>
        </is>
      </c>
      <c r="K57" s="6" t="inlineStr">
        <is>
          <t>19:00:00</t>
        </is>
      </c>
      <c r="L57" s="5" t="inlineStr">
        <is>
          <t>Fiebre alta con convulsión</t>
        </is>
      </c>
      <c r="M57" s="7" t="inlineStr">
        <is>
          <t>T4 · VERDE</t>
        </is>
      </c>
      <c r="N57" s="6" t="n">
        <v>25</v>
      </c>
      <c r="O57" s="6" t="n">
        <v>112</v>
      </c>
      <c r="P57" s="5" t="inlineStr">
        <is>
          <t>Sofía Torres</t>
        </is>
      </c>
    </row>
    <row r="58">
      <c r="A58" s="4" t="n">
        <v>36</v>
      </c>
      <c r="B58" s="5" t="inlineStr">
        <is>
          <t>Laura Jiménez Ospina</t>
        </is>
      </c>
      <c r="C58" s="6" t="inlineStr">
        <is>
          <t>62343121</t>
        </is>
      </c>
      <c r="D58" s="6" t="inlineStr">
        <is>
          <t>F</t>
        </is>
      </c>
      <c r="E58" s="6" t="n">
        <v>79</v>
      </c>
      <c r="F58" s="6" t="inlineStr">
        <is>
          <t>Anciano</t>
        </is>
      </c>
      <c r="G58" s="6" t="inlineStr">
        <is>
          <t>1947-05-26</t>
        </is>
      </c>
      <c r="H58" s="5" t="inlineStr">
        <is>
          <t>FAMISANAR</t>
        </is>
      </c>
      <c r="I58" s="6" t="inlineStr">
        <is>
          <t>3659147720</t>
        </is>
      </c>
      <c r="J58" s="6" t="inlineStr">
        <is>
          <t>3137523941</t>
        </is>
      </c>
      <c r="K58" s="6" t="inlineStr">
        <is>
          <t>19:47:00</t>
        </is>
      </c>
      <c r="L58" s="5" t="inlineStr">
        <is>
          <t>Fractura con compromiso vascular</t>
        </is>
      </c>
      <c r="M58" s="9" t="inlineStr">
        <is>
          <t>T3 · AMARILLO</t>
        </is>
      </c>
      <c r="N58" s="6" t="n">
        <v>35</v>
      </c>
      <c r="O58" s="6" t="n">
        <v>62</v>
      </c>
      <c r="P58" s="5" t="inlineStr">
        <is>
          <t>Laura Gómez</t>
        </is>
      </c>
    </row>
    <row r="59">
      <c r="A59" s="4" t="n">
        <v>15</v>
      </c>
      <c r="B59" s="5" t="inlineStr">
        <is>
          <t>Miguel Ríos Pardo</t>
        </is>
      </c>
      <c r="C59" s="6" t="inlineStr">
        <is>
          <t>72092888</t>
        </is>
      </c>
      <c r="D59" s="6" t="inlineStr">
        <is>
          <t>M</t>
        </is>
      </c>
      <c r="E59" s="6" t="n">
        <v>29</v>
      </c>
      <c r="F59" s="6" t="inlineStr">
        <is>
          <t>Adulto</t>
        </is>
      </c>
      <c r="G59" s="6" t="inlineStr">
        <is>
          <t>1997-05-26</t>
        </is>
      </c>
      <c r="H59" s="5" t="inlineStr">
        <is>
          <t>NUEVA EPS</t>
        </is>
      </c>
      <c r="I59" s="6" t="inlineStr">
        <is>
          <t>3214965789</t>
        </is>
      </c>
      <c r="J59" s="6" t="inlineStr">
        <is>
          <t>3317818496</t>
        </is>
      </c>
      <c r="K59" s="6" t="inlineStr">
        <is>
          <t>19:53:00</t>
        </is>
      </c>
      <c r="L59" s="5" t="inlineStr">
        <is>
          <t>Fiebre alta con convulsión</t>
        </is>
      </c>
      <c r="M59" s="7" t="inlineStr">
        <is>
          <t>T4 · VERDE</t>
        </is>
      </c>
      <c r="N59" s="6" t="n">
        <v>25</v>
      </c>
      <c r="O59" s="6" t="n">
        <v>6</v>
      </c>
      <c r="P59" s="5" t="inlineStr">
        <is>
          <t>Felipe Herrera</t>
        </is>
      </c>
    </row>
    <row r="60">
      <c r="A60" s="4" t="n">
        <v>47</v>
      </c>
      <c r="B60" s="5" t="inlineStr">
        <is>
          <t>Jorge Bernal García</t>
        </is>
      </c>
      <c r="C60" s="6" t="inlineStr">
        <is>
          <t>47111151</t>
        </is>
      </c>
      <c r="D60" s="6" t="inlineStr">
        <is>
          <t>M</t>
        </is>
      </c>
      <c r="E60" s="6" t="n">
        <v>71</v>
      </c>
      <c r="F60" s="6" t="inlineStr">
        <is>
          <t>Adulto mayor</t>
        </is>
      </c>
      <c r="G60" s="6" t="inlineStr">
        <is>
          <t>1955-05-26</t>
        </is>
      </c>
      <c r="H60" s="5" t="inlineStr">
        <is>
          <t>FAMISANAR</t>
        </is>
      </c>
      <c r="I60" s="6" t="inlineStr">
        <is>
          <t>3397054579</t>
        </is>
      </c>
      <c r="J60" s="6" t="inlineStr">
        <is>
          <t>3326071208</t>
        </is>
      </c>
      <c r="K60" s="6" t="inlineStr">
        <is>
          <t>20:14:00</t>
        </is>
      </c>
      <c r="L60" s="5" t="inlineStr">
        <is>
          <t>Fractura con compromiso vascular</t>
        </is>
      </c>
      <c r="M60" s="9" t="inlineStr">
        <is>
          <t>T3 · AMARILLO</t>
        </is>
      </c>
      <c r="N60" s="6" t="n">
        <v>35</v>
      </c>
      <c r="O60" s="6" t="n">
        <v>106</v>
      </c>
      <c r="P60" s="5" t="inlineStr">
        <is>
          <t>Laura Gómez</t>
        </is>
      </c>
    </row>
    <row r="61">
      <c r="A61" s="4" t="n">
        <v>31</v>
      </c>
      <c r="B61" s="5" t="inlineStr">
        <is>
          <t>Ricardo Medina Herrera</t>
        </is>
      </c>
      <c r="C61" s="6" t="inlineStr">
        <is>
          <t>13278320</t>
        </is>
      </c>
      <c r="D61" s="6" t="inlineStr">
        <is>
          <t>M</t>
        </is>
      </c>
      <c r="E61" s="6" t="n">
        <v>2</v>
      </c>
      <c r="F61" s="6" t="inlineStr">
        <is>
          <t>Infante</t>
        </is>
      </c>
      <c r="G61" s="6" t="inlineStr">
        <is>
          <t>2024-05-26</t>
        </is>
      </c>
      <c r="H61" s="5" t="inlineStr">
        <is>
          <t>ALIANSALUD</t>
        </is>
      </c>
      <c r="I61" s="6" t="inlineStr">
        <is>
          <t>3347442089</t>
        </is>
      </c>
      <c r="J61" s="6" t="inlineStr">
        <is>
          <t>3737705062</t>
        </is>
      </c>
      <c r="K61" s="6" t="inlineStr">
        <is>
          <t>20:36:00</t>
        </is>
      </c>
      <c r="L61" s="5" t="inlineStr">
        <is>
          <t>Fiebre alta con convulsión</t>
        </is>
      </c>
      <c r="M61" s="7" t="inlineStr">
        <is>
          <t>T4 · VERDE</t>
        </is>
      </c>
      <c r="N61" s="6" t="n">
        <v>25</v>
      </c>
      <c r="O61" s="6" t="n">
        <v>58</v>
      </c>
      <c r="P61" s="5" t="inlineStr">
        <is>
          <t>Sofía Torres</t>
        </is>
      </c>
    </row>
    <row r="62">
      <c r="A62" s="4" t="n">
        <v>29</v>
      </c>
      <c r="B62" s="5" t="inlineStr">
        <is>
          <t>Jorge Rodríguez Muñoz</t>
        </is>
      </c>
      <c r="C62" s="6" t="inlineStr">
        <is>
          <t>60888017</t>
        </is>
      </c>
      <c r="D62" s="6" t="inlineStr">
        <is>
          <t>M</t>
        </is>
      </c>
      <c r="E62" s="6" t="n">
        <v>68</v>
      </c>
      <c r="F62" s="6" t="inlineStr">
        <is>
          <t>Adulto mayor</t>
        </is>
      </c>
      <c r="G62" s="6" t="inlineStr">
        <is>
          <t>1958-05-26</t>
        </is>
      </c>
      <c r="H62" s="5" t="inlineStr">
        <is>
          <t>FAMISANAR</t>
        </is>
      </c>
      <c r="I62" s="6" t="inlineStr">
        <is>
          <t>3464526280</t>
        </is>
      </c>
      <c r="J62" s="6" t="inlineStr">
        <is>
          <t>3656406444</t>
        </is>
      </c>
      <c r="K62" s="6" t="inlineStr">
        <is>
          <t>20:37:00</t>
        </is>
      </c>
      <c r="L62" s="5" t="inlineStr">
        <is>
          <t>Dolor abdominal agudo</t>
        </is>
      </c>
      <c r="M62" s="9" t="inlineStr">
        <is>
          <t>T3 · AMARILLO</t>
        </is>
      </c>
      <c r="N62" s="6" t="n">
        <v>30</v>
      </c>
      <c r="O62" s="6" t="n">
        <v>70</v>
      </c>
      <c r="P62" s="5" t="inlineStr">
        <is>
          <t>Carlos Ramírez</t>
        </is>
      </c>
    </row>
    <row r="63">
      <c r="A63" s="4" t="n">
        <v>37</v>
      </c>
      <c r="B63" s="5" t="inlineStr">
        <is>
          <t>Isabella Muñoz Morales</t>
        </is>
      </c>
      <c r="C63" s="6" t="inlineStr">
        <is>
          <t>32151928</t>
        </is>
      </c>
      <c r="D63" s="6" t="inlineStr">
        <is>
          <t>F</t>
        </is>
      </c>
      <c r="E63" s="6" t="n">
        <v>78</v>
      </c>
      <c r="F63" s="6" t="inlineStr">
        <is>
          <t>Anciano</t>
        </is>
      </c>
      <c r="G63" s="6" t="inlineStr">
        <is>
          <t>1948-05-26</t>
        </is>
      </c>
      <c r="H63" s="5" t="inlineStr">
        <is>
          <t>NUEVA EPS</t>
        </is>
      </c>
      <c r="I63" s="6" t="inlineStr">
        <is>
          <t>3208190929</t>
        </is>
      </c>
      <c r="J63" s="6" t="inlineStr">
        <is>
          <t>3278746014</t>
        </is>
      </c>
      <c r="K63" s="6" t="inlineStr">
        <is>
          <t>20:39:00</t>
        </is>
      </c>
      <c r="L63" s="5" t="inlineStr">
        <is>
          <t>Dolor abdominal agudo</t>
        </is>
      </c>
      <c r="M63" s="9" t="inlineStr">
        <is>
          <t>T3 · AMARILLO</t>
        </is>
      </c>
      <c r="N63" s="6" t="n">
        <v>30</v>
      </c>
      <c r="O63" s="6" t="n">
        <v>75</v>
      </c>
      <c r="P63" s="5" t="inlineStr">
        <is>
          <t>Felipe Herrera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6" customWidth="1" min="5" max="5"/>
    <col width="6" customWidth="1" min="6" max="6"/>
    <col width="14" customWidth="1" min="7" max="7"/>
    <col width="15" customWidth="1" min="8" max="8"/>
    <col width="16" customWidth="1" min="9" max="9"/>
    <col width="24" customWidth="1" min="10" max="10"/>
  </cols>
  <sheetData>
    <row r="1">
      <c r="A1" s="12" t="inlineStr">
        <is>
          <t>⏳ COLA DE ATENCIÓN — ORDENADA POR PRIORIDAD (MIN-HEAP)</t>
        </is>
      </c>
    </row>
    <row r="2">
      <c r="A2" s="2" t="inlineStr">
        <is>
          <t>Algoritmo: (nivel_triage, peso_edad, hora_registro)  →  menor = atiende primero</t>
        </is>
      </c>
    </row>
    <row r="3">
      <c r="A3" s="3" t="inlineStr">
        <is>
          <t>POS. COLA</t>
        </is>
      </c>
      <c r="B3" s="3" t="inlineStr">
        <is>
          <t>N° TURNO</t>
        </is>
      </c>
      <c r="C3" s="3" t="inlineStr">
        <is>
          <t>NOMBRE</t>
        </is>
      </c>
      <c r="D3" s="3" t="inlineStr">
        <is>
          <t>TRIAGE</t>
        </is>
      </c>
      <c r="E3" s="3" t="inlineStr">
        <is>
          <t>TIPO EMERGENCIA</t>
        </is>
      </c>
      <c r="F3" s="3" t="inlineStr">
        <is>
          <t>EDAD</t>
        </is>
      </c>
      <c r="G3" s="3" t="inlineStr">
        <is>
          <t>GRUPO EDAD</t>
        </is>
      </c>
      <c r="H3" s="3" t="inlineStr">
        <is>
          <t>T. ATENCIÓN (min)</t>
        </is>
      </c>
      <c r="I3" s="3" t="inlineStr">
        <is>
          <t>ESPERA ACUM. (min)</t>
        </is>
      </c>
      <c r="J3" s="3" t="inlineStr">
        <is>
          <t>DOCTOR</t>
        </is>
      </c>
    </row>
    <row r="4">
      <c r="A4" s="13" t="n">
        <v>1</v>
      </c>
      <c r="B4" s="6" t="n">
        <v>45</v>
      </c>
      <c r="C4" s="5" t="inlineStr">
        <is>
          <t>Paula Cárdenas Vargas</t>
        </is>
      </c>
      <c r="D4" s="11" t="inlineStr">
        <is>
          <t>T1 · ROJO</t>
        </is>
      </c>
      <c r="E4" s="5" t="inlineStr">
        <is>
          <t>Paro cardiorrespiratorio</t>
        </is>
      </c>
      <c r="F4" s="6" t="n">
        <v>66</v>
      </c>
      <c r="G4" s="6" t="inlineStr">
        <is>
          <t>Adulto mayor</t>
        </is>
      </c>
      <c r="H4" s="6" t="n">
        <v>60</v>
      </c>
      <c r="I4" s="6" t="n">
        <v>0</v>
      </c>
      <c r="J4" s="5" t="inlineStr">
        <is>
          <t>Laura Gómez</t>
        </is>
      </c>
    </row>
    <row r="5">
      <c r="A5" s="14" t="n">
        <v>2</v>
      </c>
      <c r="B5" s="6" t="n">
        <v>54</v>
      </c>
      <c r="C5" s="5" t="inlineStr">
        <is>
          <t>Sofía Cruz Gómez</t>
        </is>
      </c>
      <c r="D5" s="11" t="inlineStr">
        <is>
          <t>T1 · ROJO</t>
        </is>
      </c>
      <c r="E5" s="5" t="inlineStr">
        <is>
          <t>Paro cardiorrespiratorio</t>
        </is>
      </c>
      <c r="F5" s="6" t="n">
        <v>72</v>
      </c>
      <c r="G5" s="6" t="inlineStr">
        <is>
          <t>Adulto mayor</t>
        </is>
      </c>
      <c r="H5" s="6" t="n">
        <v>60</v>
      </c>
      <c r="I5" s="6" t="n">
        <v>60</v>
      </c>
      <c r="J5" s="5" t="inlineStr">
        <is>
          <t>Andrés Martínez</t>
        </is>
      </c>
    </row>
    <row r="6">
      <c r="A6" s="13" t="n">
        <v>3</v>
      </c>
      <c r="B6" s="6" t="n">
        <v>14</v>
      </c>
      <c r="C6" s="5" t="inlineStr">
        <is>
          <t>Juliana Rodríguez López</t>
        </is>
      </c>
      <c r="D6" s="11" t="inlineStr">
        <is>
          <t>T1 · ROJO</t>
        </is>
      </c>
      <c r="E6" s="5" t="inlineStr">
        <is>
          <t>Politraumatismo grave</t>
        </is>
      </c>
      <c r="F6" s="6" t="n">
        <v>68</v>
      </c>
      <c r="G6" s="6" t="inlineStr">
        <is>
          <t>Adulto mayor</t>
        </is>
      </c>
      <c r="H6" s="6" t="n">
        <v>90</v>
      </c>
      <c r="I6" s="6" t="n">
        <v>120</v>
      </c>
      <c r="J6" s="5" t="inlineStr">
        <is>
          <t>Carlos Ramírez</t>
        </is>
      </c>
    </row>
    <row r="7">
      <c r="A7" s="14" t="n">
        <v>4</v>
      </c>
      <c r="B7" s="6" t="n">
        <v>19</v>
      </c>
      <c r="C7" s="5" t="inlineStr">
        <is>
          <t>Valentina Muñoz Moreno</t>
        </is>
      </c>
      <c r="D7" s="11" t="inlineStr">
        <is>
          <t>T1 · ROJO</t>
        </is>
      </c>
      <c r="E7" s="5" t="inlineStr">
        <is>
          <t>Paro cardiorrespiratorio</t>
        </is>
      </c>
      <c r="F7" s="6" t="n">
        <v>52</v>
      </c>
      <c r="G7" s="6" t="inlineStr">
        <is>
          <t>Adulto</t>
        </is>
      </c>
      <c r="H7" s="6" t="n">
        <v>60</v>
      </c>
      <c r="I7" s="6" t="n">
        <v>210</v>
      </c>
      <c r="J7" s="5" t="inlineStr">
        <is>
          <t>Felipe Herrera</t>
        </is>
      </c>
    </row>
    <row r="8">
      <c r="A8" s="13" t="n">
        <v>5</v>
      </c>
      <c r="B8" s="6" t="n">
        <v>25</v>
      </c>
      <c r="C8" s="5" t="inlineStr">
        <is>
          <t>Valentina Alvarado Torres</t>
        </is>
      </c>
      <c r="D8" s="10" t="inlineStr">
        <is>
          <t>T2 · NARANJA</t>
        </is>
      </c>
      <c r="E8" s="5" t="inlineStr">
        <is>
          <t>ACV / Derrame cerebral</t>
        </is>
      </c>
      <c r="F8" s="6" t="n">
        <v>81</v>
      </c>
      <c r="G8" s="6" t="inlineStr">
        <is>
          <t>Anciano</t>
        </is>
      </c>
      <c r="H8" s="6" t="n">
        <v>50</v>
      </c>
      <c r="I8" s="6" t="n">
        <v>270</v>
      </c>
      <c r="J8" s="5" t="inlineStr">
        <is>
          <t>Andrés Martínez</t>
        </is>
      </c>
    </row>
    <row r="9">
      <c r="A9" s="14" t="n">
        <v>6</v>
      </c>
      <c r="B9" s="6" t="n">
        <v>51</v>
      </c>
      <c r="C9" s="5" t="inlineStr">
        <is>
          <t>Alejandro Medina Pardo</t>
        </is>
      </c>
      <c r="D9" s="10" t="inlineStr">
        <is>
          <t>T2 · NARANJA</t>
        </is>
      </c>
      <c r="E9" s="5" t="inlineStr">
        <is>
          <t>Dificultad respiratoria severa</t>
        </is>
      </c>
      <c r="F9" s="6" t="n">
        <v>4</v>
      </c>
      <c r="G9" s="6" t="inlineStr">
        <is>
          <t>Infante</t>
        </is>
      </c>
      <c r="H9" s="6" t="n">
        <v>45</v>
      </c>
      <c r="I9" s="6" t="n">
        <v>320</v>
      </c>
      <c r="J9" s="5" t="inlineStr">
        <is>
          <t>Sofía Torres</t>
        </is>
      </c>
    </row>
    <row r="10">
      <c r="A10" s="13" t="n">
        <v>7</v>
      </c>
      <c r="B10" s="6" t="n">
        <v>57</v>
      </c>
      <c r="C10" s="5" t="inlineStr">
        <is>
          <t>Juan Jiménez Cruz</t>
        </is>
      </c>
      <c r="D10" s="10" t="inlineStr">
        <is>
          <t>T2 · NARANJA</t>
        </is>
      </c>
      <c r="E10" s="5" t="inlineStr">
        <is>
          <t>Dificultad respiratoria severa</t>
        </is>
      </c>
      <c r="F10" s="6" t="n">
        <v>65</v>
      </c>
      <c r="G10" s="6" t="inlineStr">
        <is>
          <t>Adulto mayor</t>
        </is>
      </c>
      <c r="H10" s="6" t="n">
        <v>45</v>
      </c>
      <c r="I10" s="6" t="n">
        <v>365</v>
      </c>
      <c r="J10" s="5" t="inlineStr">
        <is>
          <t>Andrés Martínez</t>
        </is>
      </c>
    </row>
    <row r="11">
      <c r="A11" s="14" t="n">
        <v>8</v>
      </c>
      <c r="B11" s="6" t="n">
        <v>34</v>
      </c>
      <c r="C11" s="5" t="inlineStr">
        <is>
          <t>Camilo Moreno Pardo</t>
        </is>
      </c>
      <c r="D11" s="10" t="inlineStr">
        <is>
          <t>T2 · NARANJA</t>
        </is>
      </c>
      <c r="E11" s="5" t="inlineStr">
        <is>
          <t>ACV / Derrame cerebral</t>
        </is>
      </c>
      <c r="F11" s="6" t="n">
        <v>55</v>
      </c>
      <c r="G11" s="6" t="inlineStr">
        <is>
          <t>Adulto</t>
        </is>
      </c>
      <c r="H11" s="6" t="n">
        <v>50</v>
      </c>
      <c r="I11" s="6" t="n">
        <v>410</v>
      </c>
      <c r="J11" s="5" t="inlineStr">
        <is>
          <t>Andrés Martínez</t>
        </is>
      </c>
    </row>
    <row r="12">
      <c r="A12" s="13" t="n">
        <v>9</v>
      </c>
      <c r="B12" s="6" t="n">
        <v>10</v>
      </c>
      <c r="C12" s="5" t="inlineStr">
        <is>
          <t>David Castro García</t>
        </is>
      </c>
      <c r="D12" s="10" t="inlineStr">
        <is>
          <t>T2 · NARANJA</t>
        </is>
      </c>
      <c r="E12" s="5" t="inlineStr">
        <is>
          <t>Dificultad respiratoria severa</t>
        </is>
      </c>
      <c r="F12" s="6" t="n">
        <v>9</v>
      </c>
      <c r="G12" s="6" t="inlineStr">
        <is>
          <t>Menor de edad</t>
        </is>
      </c>
      <c r="H12" s="6" t="n">
        <v>45</v>
      </c>
      <c r="I12" s="6" t="n">
        <v>460</v>
      </c>
      <c r="J12" s="5" t="inlineStr">
        <is>
          <t>Felipe Herrera</t>
        </is>
      </c>
    </row>
    <row r="13">
      <c r="A13" s="14" t="n">
        <v>10</v>
      </c>
      <c r="B13" s="6" t="n">
        <v>43</v>
      </c>
      <c r="C13" s="5" t="inlineStr">
        <is>
          <t>Alejandra Díaz Cárdenas</t>
        </is>
      </c>
      <c r="D13" s="10" t="inlineStr">
        <is>
          <t>T2 · NARANJA</t>
        </is>
      </c>
      <c r="E13" s="5" t="inlineStr">
        <is>
          <t>Dificultad respiratoria severa</t>
        </is>
      </c>
      <c r="F13" s="6" t="n">
        <v>53</v>
      </c>
      <c r="G13" s="6" t="inlineStr">
        <is>
          <t>Adulto</t>
        </is>
      </c>
      <c r="H13" s="6" t="n">
        <v>45</v>
      </c>
      <c r="I13" s="6" t="n">
        <v>505</v>
      </c>
      <c r="J13" s="5" t="inlineStr">
        <is>
          <t>Carlos Ramírez</t>
        </is>
      </c>
    </row>
    <row r="14">
      <c r="A14" s="13" t="n">
        <v>11</v>
      </c>
      <c r="B14" s="6" t="n">
        <v>39</v>
      </c>
      <c r="C14" s="5" t="inlineStr">
        <is>
          <t>Natalia Moreno Martínez</t>
        </is>
      </c>
      <c r="D14" s="9" t="inlineStr">
        <is>
          <t>T3 · AMARILLO</t>
        </is>
      </c>
      <c r="E14" s="5" t="inlineStr">
        <is>
          <t>Fractura con compromiso vascular</t>
        </is>
      </c>
      <c r="F14" s="6" t="n">
        <v>1</v>
      </c>
      <c r="G14" s="6" t="inlineStr">
        <is>
          <t>Neonato</t>
        </is>
      </c>
      <c r="H14" s="6" t="n">
        <v>35</v>
      </c>
      <c r="I14" s="6" t="n">
        <v>550</v>
      </c>
      <c r="J14" s="5" t="inlineStr">
        <is>
          <t>Laura Gómez</t>
        </is>
      </c>
    </row>
    <row r="15">
      <c r="A15" s="14" t="n">
        <v>12</v>
      </c>
      <c r="B15" s="6" t="n">
        <v>56</v>
      </c>
      <c r="C15" s="5" t="inlineStr">
        <is>
          <t>Isabella Morales Cárdenas</t>
        </is>
      </c>
      <c r="D15" s="9" t="inlineStr">
        <is>
          <t>T3 · AMARILLO</t>
        </is>
      </c>
      <c r="E15" s="5" t="inlineStr">
        <is>
          <t>Dolor abdominal agudo</t>
        </is>
      </c>
      <c r="F15" s="6" t="n">
        <v>1</v>
      </c>
      <c r="G15" s="6" t="inlineStr">
        <is>
          <t>Neonato</t>
        </is>
      </c>
      <c r="H15" s="6" t="n">
        <v>30</v>
      </c>
      <c r="I15" s="6" t="n">
        <v>585</v>
      </c>
      <c r="J15" s="5" t="inlineStr">
        <is>
          <t>Felipe Herrera</t>
        </is>
      </c>
    </row>
    <row r="16">
      <c r="A16" s="13" t="n">
        <v>13</v>
      </c>
      <c r="B16" s="6" t="n">
        <v>49</v>
      </c>
      <c r="C16" s="5" t="inlineStr">
        <is>
          <t>Daniela Ríos Gómez</t>
        </is>
      </c>
      <c r="D16" s="9" t="inlineStr">
        <is>
          <t>T3 · AMARILLO</t>
        </is>
      </c>
      <c r="E16" s="5" t="inlineStr">
        <is>
          <t>Fractura con compromiso vascular</t>
        </is>
      </c>
      <c r="F16" s="6" t="n">
        <v>86</v>
      </c>
      <c r="G16" s="6" t="inlineStr">
        <is>
          <t>Anciano</t>
        </is>
      </c>
      <c r="H16" s="6" t="n">
        <v>35</v>
      </c>
      <c r="I16" s="6" t="n">
        <v>615</v>
      </c>
      <c r="J16" s="5" t="inlineStr">
        <is>
          <t>Carlos Ramírez</t>
        </is>
      </c>
    </row>
    <row r="17">
      <c r="A17" s="14" t="n">
        <v>14</v>
      </c>
      <c r="B17" s="6" t="n">
        <v>36</v>
      </c>
      <c r="C17" s="5" t="inlineStr">
        <is>
          <t>Laura Jiménez Ospina</t>
        </is>
      </c>
      <c r="D17" s="9" t="inlineStr">
        <is>
          <t>T3 · AMARILLO</t>
        </is>
      </c>
      <c r="E17" s="5" t="inlineStr">
        <is>
          <t>Fractura con compromiso vascular</t>
        </is>
      </c>
      <c r="F17" s="6" t="n">
        <v>79</v>
      </c>
      <c r="G17" s="6" t="inlineStr">
        <is>
          <t>Anciano</t>
        </is>
      </c>
      <c r="H17" s="6" t="n">
        <v>35</v>
      </c>
      <c r="I17" s="6" t="n">
        <v>650</v>
      </c>
      <c r="J17" s="5" t="inlineStr">
        <is>
          <t>Laura Gómez</t>
        </is>
      </c>
    </row>
    <row r="18">
      <c r="A18" s="13" t="n">
        <v>15</v>
      </c>
      <c r="B18" s="6" t="n">
        <v>37</v>
      </c>
      <c r="C18" s="5" t="inlineStr">
        <is>
          <t>Isabella Muñoz Morales</t>
        </is>
      </c>
      <c r="D18" s="9" t="inlineStr">
        <is>
          <t>T3 · AMARILLO</t>
        </is>
      </c>
      <c r="E18" s="5" t="inlineStr">
        <is>
          <t>Dolor abdominal agudo</t>
        </is>
      </c>
      <c r="F18" s="6" t="n">
        <v>78</v>
      </c>
      <c r="G18" s="6" t="inlineStr">
        <is>
          <t>Anciano</t>
        </is>
      </c>
      <c r="H18" s="6" t="n">
        <v>30</v>
      </c>
      <c r="I18" s="6" t="n">
        <v>685</v>
      </c>
      <c r="J18" s="5" t="inlineStr">
        <is>
          <t>Felipe Herrera</t>
        </is>
      </c>
    </row>
    <row r="19">
      <c r="A19" s="14" t="n">
        <v>16</v>
      </c>
      <c r="B19" s="6" t="n">
        <v>8</v>
      </c>
      <c r="C19" s="5" t="inlineStr">
        <is>
          <t>Ricardo Muñoz Rodríguez</t>
        </is>
      </c>
      <c r="D19" s="9" t="inlineStr">
        <is>
          <t>T3 · AMARILLO</t>
        </is>
      </c>
      <c r="E19" s="5" t="inlineStr">
        <is>
          <t>Fractura con compromiso vascular</t>
        </is>
      </c>
      <c r="F19" s="6" t="n">
        <v>3</v>
      </c>
      <c r="G19" s="6" t="inlineStr">
        <is>
          <t>Infante</t>
        </is>
      </c>
      <c r="H19" s="6" t="n">
        <v>35</v>
      </c>
      <c r="I19" s="6" t="n">
        <v>715</v>
      </c>
      <c r="J19" s="5" t="inlineStr">
        <is>
          <t>Carlos Ramírez</t>
        </is>
      </c>
    </row>
    <row r="20">
      <c r="A20" s="13" t="n">
        <v>17</v>
      </c>
      <c r="B20" s="6" t="n">
        <v>35</v>
      </c>
      <c r="C20" s="5" t="inlineStr">
        <is>
          <t>Miguel Alvarado Herrera</t>
        </is>
      </c>
      <c r="D20" s="9" t="inlineStr">
        <is>
          <t>T3 · AMARILLO</t>
        </is>
      </c>
      <c r="E20" s="5" t="inlineStr">
        <is>
          <t>Fractura con compromiso vascular</t>
        </is>
      </c>
      <c r="F20" s="6" t="n">
        <v>3</v>
      </c>
      <c r="G20" s="6" t="inlineStr">
        <is>
          <t>Infante</t>
        </is>
      </c>
      <c r="H20" s="6" t="n">
        <v>35</v>
      </c>
      <c r="I20" s="6" t="n">
        <v>750</v>
      </c>
      <c r="J20" s="5" t="inlineStr">
        <is>
          <t>Sofía Torres</t>
        </is>
      </c>
    </row>
    <row r="21">
      <c r="A21" s="14" t="n">
        <v>18</v>
      </c>
      <c r="B21" s="6" t="n">
        <v>53</v>
      </c>
      <c r="C21" s="5" t="inlineStr">
        <is>
          <t>Carlos Ríos Ospina</t>
        </is>
      </c>
      <c r="D21" s="9" t="inlineStr">
        <is>
          <t>T3 · AMARILLO</t>
        </is>
      </c>
      <c r="E21" s="5" t="inlineStr">
        <is>
          <t>Dolor abdominal agudo</t>
        </is>
      </c>
      <c r="F21" s="6" t="n">
        <v>72</v>
      </c>
      <c r="G21" s="6" t="inlineStr">
        <is>
          <t>Adulto mayor</t>
        </is>
      </c>
      <c r="H21" s="6" t="n">
        <v>30</v>
      </c>
      <c r="I21" s="6" t="n">
        <v>785</v>
      </c>
      <c r="J21" s="5" t="inlineStr">
        <is>
          <t>Andrés Martínez</t>
        </is>
      </c>
    </row>
    <row r="22">
      <c r="A22" s="13" t="n">
        <v>19</v>
      </c>
      <c r="B22" s="6" t="n">
        <v>50</v>
      </c>
      <c r="C22" s="5" t="inlineStr">
        <is>
          <t>Juan Cárdenas Rodríguez</t>
        </is>
      </c>
      <c r="D22" s="9" t="inlineStr">
        <is>
          <t>T3 · AMARILLO</t>
        </is>
      </c>
      <c r="E22" s="5" t="inlineStr">
        <is>
          <t>Dolor abdominal agudo</t>
        </is>
      </c>
      <c r="F22" s="6" t="n">
        <v>64</v>
      </c>
      <c r="G22" s="6" t="inlineStr">
        <is>
          <t>Adulto mayor</t>
        </is>
      </c>
      <c r="H22" s="6" t="n">
        <v>30</v>
      </c>
      <c r="I22" s="6" t="n">
        <v>815</v>
      </c>
      <c r="J22" s="5" t="inlineStr">
        <is>
          <t>Felipe Herrera</t>
        </is>
      </c>
    </row>
    <row r="23">
      <c r="A23" s="14" t="n">
        <v>20</v>
      </c>
      <c r="B23" s="6" t="n">
        <v>60</v>
      </c>
      <c r="C23" s="5" t="inlineStr">
        <is>
          <t>Sebastián Bernal Ospina</t>
        </is>
      </c>
      <c r="D23" s="9" t="inlineStr">
        <is>
          <t>T3 · AMARILLO</t>
        </is>
      </c>
      <c r="E23" s="5" t="inlineStr">
        <is>
          <t>Dolor abdominal agudo</t>
        </is>
      </c>
      <c r="F23" s="6" t="n">
        <v>63</v>
      </c>
      <c r="G23" s="6" t="inlineStr">
        <is>
          <t>Adulto mayor</t>
        </is>
      </c>
      <c r="H23" s="6" t="n">
        <v>30</v>
      </c>
      <c r="I23" s="6" t="n">
        <v>845</v>
      </c>
      <c r="J23" s="5" t="inlineStr">
        <is>
          <t>Andrés Martínez</t>
        </is>
      </c>
    </row>
    <row r="24">
      <c r="A24" s="13" t="n">
        <v>21</v>
      </c>
      <c r="B24" s="6" t="n">
        <v>47</v>
      </c>
      <c r="C24" s="5" t="inlineStr">
        <is>
          <t>Jorge Bernal García</t>
        </is>
      </c>
      <c r="D24" s="9" t="inlineStr">
        <is>
          <t>T3 · AMARILLO</t>
        </is>
      </c>
      <c r="E24" s="5" t="inlineStr">
        <is>
          <t>Fractura con compromiso vascular</t>
        </is>
      </c>
      <c r="F24" s="6" t="n">
        <v>71</v>
      </c>
      <c r="G24" s="6" t="inlineStr">
        <is>
          <t>Adulto mayor</t>
        </is>
      </c>
      <c r="H24" s="6" t="n">
        <v>35</v>
      </c>
      <c r="I24" s="6" t="n">
        <v>875</v>
      </c>
      <c r="J24" s="5" t="inlineStr">
        <is>
          <t>Laura Gómez</t>
        </is>
      </c>
    </row>
    <row r="25">
      <c r="A25" s="14" t="n">
        <v>22</v>
      </c>
      <c r="B25" s="6" t="n">
        <v>29</v>
      </c>
      <c r="C25" s="5" t="inlineStr">
        <is>
          <t>Jorge Rodríguez Muñoz</t>
        </is>
      </c>
      <c r="D25" s="9" t="inlineStr">
        <is>
          <t>T3 · AMARILLO</t>
        </is>
      </c>
      <c r="E25" s="5" t="inlineStr">
        <is>
          <t>Dolor abdominal agudo</t>
        </is>
      </c>
      <c r="F25" s="6" t="n">
        <v>68</v>
      </c>
      <c r="G25" s="6" t="inlineStr">
        <is>
          <t>Adulto mayor</t>
        </is>
      </c>
      <c r="H25" s="6" t="n">
        <v>30</v>
      </c>
      <c r="I25" s="6" t="n">
        <v>910</v>
      </c>
      <c r="J25" s="5" t="inlineStr">
        <is>
          <t>Carlos Ramírez</t>
        </is>
      </c>
    </row>
    <row r="26">
      <c r="A26" s="13" t="n">
        <v>23</v>
      </c>
      <c r="B26" s="6" t="n">
        <v>22</v>
      </c>
      <c r="C26" s="5" t="inlineStr">
        <is>
          <t>Claudia Pardo Gómez</t>
        </is>
      </c>
      <c r="D26" s="9" t="inlineStr">
        <is>
          <t>T3 · AMARILLO</t>
        </is>
      </c>
      <c r="E26" s="5" t="inlineStr">
        <is>
          <t>Dolor abdominal agudo</t>
        </is>
      </c>
      <c r="F26" s="6" t="n">
        <v>38</v>
      </c>
      <c r="G26" s="6" t="inlineStr">
        <is>
          <t>Adulto</t>
        </is>
      </c>
      <c r="H26" s="6" t="n">
        <v>30</v>
      </c>
      <c r="I26" s="6" t="n">
        <v>940</v>
      </c>
      <c r="J26" s="5" t="inlineStr">
        <is>
          <t>Sofía Torres</t>
        </is>
      </c>
    </row>
    <row r="27">
      <c r="A27" s="14" t="n">
        <v>24</v>
      </c>
      <c r="B27" s="6" t="n">
        <v>23</v>
      </c>
      <c r="C27" s="5" t="inlineStr">
        <is>
          <t>Camilo Jiménez Reyes</t>
        </is>
      </c>
      <c r="D27" s="9" t="inlineStr">
        <is>
          <t>T3 · AMARILLO</t>
        </is>
      </c>
      <c r="E27" s="5" t="inlineStr">
        <is>
          <t>Fractura con compromiso vascular</t>
        </is>
      </c>
      <c r="F27" s="6" t="n">
        <v>17</v>
      </c>
      <c r="G27" s="6" t="inlineStr">
        <is>
          <t>Menor de edad</t>
        </is>
      </c>
      <c r="H27" s="6" t="n">
        <v>35</v>
      </c>
      <c r="I27" s="6" t="n">
        <v>970</v>
      </c>
      <c r="J27" s="5" t="inlineStr">
        <is>
          <t>Andrés Martínez</t>
        </is>
      </c>
    </row>
    <row r="28">
      <c r="A28" s="13" t="n">
        <v>25</v>
      </c>
      <c r="B28" s="6" t="n">
        <v>16</v>
      </c>
      <c r="C28" s="5" t="inlineStr">
        <is>
          <t>Mariana Medina Morales</t>
        </is>
      </c>
      <c r="D28" s="9" t="inlineStr">
        <is>
          <t>T3 · AMARILLO</t>
        </is>
      </c>
      <c r="E28" s="5" t="inlineStr">
        <is>
          <t>Dolor abdominal agudo</t>
        </is>
      </c>
      <c r="F28" s="6" t="n">
        <v>19</v>
      </c>
      <c r="G28" s="6" t="inlineStr">
        <is>
          <t>Adulto</t>
        </is>
      </c>
      <c r="H28" s="6" t="n">
        <v>30</v>
      </c>
      <c r="I28" s="6" t="n">
        <v>1005</v>
      </c>
      <c r="J28" s="5" t="inlineStr">
        <is>
          <t>Sofía Torres</t>
        </is>
      </c>
    </row>
    <row r="29">
      <c r="A29" s="14" t="n">
        <v>26</v>
      </c>
      <c r="B29" s="6" t="n">
        <v>44</v>
      </c>
      <c r="C29" s="5" t="inlineStr">
        <is>
          <t>Laura García Castro</t>
        </is>
      </c>
      <c r="D29" s="9" t="inlineStr">
        <is>
          <t>T3 · AMARILLO</t>
        </is>
      </c>
      <c r="E29" s="5" t="inlineStr">
        <is>
          <t>Dolor abdominal agudo</t>
        </is>
      </c>
      <c r="F29" s="6" t="n">
        <v>56</v>
      </c>
      <c r="G29" s="6" t="inlineStr">
        <is>
          <t>Adulto</t>
        </is>
      </c>
      <c r="H29" s="6" t="n">
        <v>30</v>
      </c>
      <c r="I29" s="6" t="n">
        <v>1035</v>
      </c>
      <c r="J29" s="5" t="inlineStr">
        <is>
          <t>Carlos Ramírez</t>
        </is>
      </c>
    </row>
    <row r="30">
      <c r="A30" s="13" t="n">
        <v>27</v>
      </c>
      <c r="B30" s="6" t="n">
        <v>46</v>
      </c>
      <c r="C30" s="5" t="inlineStr">
        <is>
          <t>Juliana Bernal Díaz</t>
        </is>
      </c>
      <c r="D30" s="9" t="inlineStr">
        <is>
          <t>T3 · AMARILLO</t>
        </is>
      </c>
      <c r="E30" s="5" t="inlineStr">
        <is>
          <t>Fractura con compromiso vascular</t>
        </is>
      </c>
      <c r="F30" s="6" t="n">
        <v>40</v>
      </c>
      <c r="G30" s="6" t="inlineStr">
        <is>
          <t>Adulto</t>
        </is>
      </c>
      <c r="H30" s="6" t="n">
        <v>35</v>
      </c>
      <c r="I30" s="6" t="n">
        <v>1065</v>
      </c>
      <c r="J30" s="5" t="inlineStr">
        <is>
          <t>Laura Gómez</t>
        </is>
      </c>
    </row>
    <row r="31">
      <c r="A31" s="14" t="n">
        <v>28</v>
      </c>
      <c r="B31" s="6" t="n">
        <v>7</v>
      </c>
      <c r="C31" s="5" t="inlineStr">
        <is>
          <t>Jorge Bernal Díaz</t>
        </is>
      </c>
      <c r="D31" s="9" t="inlineStr">
        <is>
          <t>T3 · AMARILLO</t>
        </is>
      </c>
      <c r="E31" s="5" t="inlineStr">
        <is>
          <t>Fractura con compromiso vascular</t>
        </is>
      </c>
      <c r="F31" s="6" t="n">
        <v>30</v>
      </c>
      <c r="G31" s="6" t="inlineStr">
        <is>
          <t>Adulto</t>
        </is>
      </c>
      <c r="H31" s="6" t="n">
        <v>35</v>
      </c>
      <c r="I31" s="6" t="n">
        <v>1100</v>
      </c>
      <c r="J31" s="5" t="inlineStr">
        <is>
          <t>Felipe Herrera</t>
        </is>
      </c>
    </row>
    <row r="32">
      <c r="A32" s="13" t="n">
        <v>29</v>
      </c>
      <c r="B32" s="6" t="n">
        <v>11</v>
      </c>
      <c r="C32" s="5" t="inlineStr">
        <is>
          <t>Felipe Muñoz García</t>
        </is>
      </c>
      <c r="D32" s="9" t="inlineStr">
        <is>
          <t>T3 · AMARILLO</t>
        </is>
      </c>
      <c r="E32" s="5" t="inlineStr">
        <is>
          <t>Fractura con compromiso vascular</t>
        </is>
      </c>
      <c r="F32" s="6" t="n">
        <v>19</v>
      </c>
      <c r="G32" s="6" t="inlineStr">
        <is>
          <t>Adulto</t>
        </is>
      </c>
      <c r="H32" s="6" t="n">
        <v>35</v>
      </c>
      <c r="I32" s="6" t="n">
        <v>1135</v>
      </c>
      <c r="J32" s="5" t="inlineStr">
        <is>
          <t>Felipe Herrera</t>
        </is>
      </c>
    </row>
    <row r="33">
      <c r="A33" s="14" t="n">
        <v>30</v>
      </c>
      <c r="B33" s="6" t="n">
        <v>55</v>
      </c>
      <c r="C33" s="5" t="inlineStr">
        <is>
          <t>Fernanda Pardo Ríos</t>
        </is>
      </c>
      <c r="D33" s="9" t="inlineStr">
        <is>
          <t>T3 · AMARILLO</t>
        </is>
      </c>
      <c r="E33" s="5" t="inlineStr">
        <is>
          <t>Dolor abdominal agudo</t>
        </is>
      </c>
      <c r="F33" s="6" t="n">
        <v>50</v>
      </c>
      <c r="G33" s="6" t="inlineStr">
        <is>
          <t>Adulto</t>
        </is>
      </c>
      <c r="H33" s="6" t="n">
        <v>30</v>
      </c>
      <c r="I33" s="6" t="n">
        <v>1170</v>
      </c>
      <c r="J33" s="5" t="inlineStr">
        <is>
          <t>Andrés Martínez</t>
        </is>
      </c>
    </row>
    <row r="34">
      <c r="A34" s="13" t="n">
        <v>31</v>
      </c>
      <c r="B34" s="6" t="n">
        <v>13</v>
      </c>
      <c r="C34" s="5" t="inlineStr">
        <is>
          <t>Camilo Castro Martínez</t>
        </is>
      </c>
      <c r="D34" s="9" t="inlineStr">
        <is>
          <t>T3 · AMARILLO</t>
        </is>
      </c>
      <c r="E34" s="5" t="inlineStr">
        <is>
          <t>Dolor abdominal agudo</t>
        </is>
      </c>
      <c r="F34" s="6" t="n">
        <v>27</v>
      </c>
      <c r="G34" s="6" t="inlineStr">
        <is>
          <t>Adulto</t>
        </is>
      </c>
      <c r="H34" s="6" t="n">
        <v>30</v>
      </c>
      <c r="I34" s="6" t="n">
        <v>1200</v>
      </c>
      <c r="J34" s="5" t="inlineStr">
        <is>
          <t>Sofía Torres</t>
        </is>
      </c>
    </row>
    <row r="35">
      <c r="A35" s="14" t="n">
        <v>32</v>
      </c>
      <c r="B35" s="6" t="n">
        <v>20</v>
      </c>
      <c r="C35" s="5" t="inlineStr">
        <is>
          <t>Nicolás Vargas Jiménez</t>
        </is>
      </c>
      <c r="D35" s="9" t="inlineStr">
        <is>
          <t>T3 · AMARILLO</t>
        </is>
      </c>
      <c r="E35" s="5" t="inlineStr">
        <is>
          <t>Fractura con compromiso vascular</t>
        </is>
      </c>
      <c r="F35" s="6" t="n">
        <v>18</v>
      </c>
      <c r="G35" s="6" t="inlineStr">
        <is>
          <t>Adulto</t>
        </is>
      </c>
      <c r="H35" s="6" t="n">
        <v>35</v>
      </c>
      <c r="I35" s="6" t="n">
        <v>1230</v>
      </c>
      <c r="J35" s="5" t="inlineStr">
        <is>
          <t>Felipe Herrera</t>
        </is>
      </c>
    </row>
    <row r="36">
      <c r="A36" s="13" t="n">
        <v>33</v>
      </c>
      <c r="B36" s="6" t="n">
        <v>33</v>
      </c>
      <c r="C36" s="5" t="inlineStr">
        <is>
          <t>Ricardo López Muñoz</t>
        </is>
      </c>
      <c r="D36" s="7" t="inlineStr">
        <is>
          <t>T4 · VERDE</t>
        </is>
      </c>
      <c r="E36" s="5" t="inlineStr">
        <is>
          <t>Herida con sangrado moderado</t>
        </is>
      </c>
      <c r="F36" s="6" t="n">
        <v>90</v>
      </c>
      <c r="G36" s="6" t="inlineStr">
        <is>
          <t>Anciano</t>
        </is>
      </c>
      <c r="H36" s="6" t="n">
        <v>20</v>
      </c>
      <c r="I36" s="6" t="n">
        <v>1265</v>
      </c>
      <c r="J36" s="5" t="inlineStr">
        <is>
          <t>Felipe Herrera</t>
        </is>
      </c>
    </row>
    <row r="37">
      <c r="A37" s="14" t="n">
        <v>34</v>
      </c>
      <c r="B37" s="6" t="n">
        <v>28</v>
      </c>
      <c r="C37" s="5" t="inlineStr">
        <is>
          <t>Daniel Rodríguez Martínez</t>
        </is>
      </c>
      <c r="D37" s="7" t="inlineStr">
        <is>
          <t>T4 · VERDE</t>
        </is>
      </c>
      <c r="E37" s="5" t="inlineStr">
        <is>
          <t>Herida con sangrado moderado</t>
        </is>
      </c>
      <c r="F37" s="6" t="n">
        <v>85</v>
      </c>
      <c r="G37" s="6" t="inlineStr">
        <is>
          <t>Anciano</t>
        </is>
      </c>
      <c r="H37" s="6" t="n">
        <v>20</v>
      </c>
      <c r="I37" s="6" t="n">
        <v>1285</v>
      </c>
      <c r="J37" s="5" t="inlineStr">
        <is>
          <t>Andrés Martínez</t>
        </is>
      </c>
    </row>
    <row r="38">
      <c r="A38" s="13" t="n">
        <v>35</v>
      </c>
      <c r="B38" s="6" t="n">
        <v>32</v>
      </c>
      <c r="C38" s="5" t="inlineStr">
        <is>
          <t>Felipe Moreno Alvarado</t>
        </is>
      </c>
      <c r="D38" s="7" t="inlineStr">
        <is>
          <t>T4 · VERDE</t>
        </is>
      </c>
      <c r="E38" s="5" t="inlineStr">
        <is>
          <t>Fiebre alta con convulsión</t>
        </is>
      </c>
      <c r="F38" s="6" t="n">
        <v>82</v>
      </c>
      <c r="G38" s="6" t="inlineStr">
        <is>
          <t>Anciano</t>
        </is>
      </c>
      <c r="H38" s="6" t="n">
        <v>25</v>
      </c>
      <c r="I38" s="6" t="n">
        <v>1305</v>
      </c>
      <c r="J38" s="5" t="inlineStr">
        <is>
          <t>Felipe Herrera</t>
        </is>
      </c>
    </row>
    <row r="39">
      <c r="A39" s="14" t="n">
        <v>36</v>
      </c>
      <c r="B39" s="6" t="n">
        <v>48</v>
      </c>
      <c r="C39" s="5" t="inlineStr">
        <is>
          <t>Santiago Díaz Herrera</t>
        </is>
      </c>
      <c r="D39" s="7" t="inlineStr">
        <is>
          <t>T4 · VERDE</t>
        </is>
      </c>
      <c r="E39" s="5" t="inlineStr">
        <is>
          <t>Fiebre alta con convulsión</t>
        </is>
      </c>
      <c r="F39" s="6" t="n">
        <v>2</v>
      </c>
      <c r="G39" s="6" t="inlineStr">
        <is>
          <t>Infante</t>
        </is>
      </c>
      <c r="H39" s="6" t="n">
        <v>25</v>
      </c>
      <c r="I39" s="6" t="n">
        <v>1330</v>
      </c>
      <c r="J39" s="5" t="inlineStr">
        <is>
          <t>Sofía Torres</t>
        </is>
      </c>
    </row>
    <row r="40">
      <c r="A40" s="13" t="n">
        <v>37</v>
      </c>
      <c r="B40" s="6" t="n">
        <v>17</v>
      </c>
      <c r="C40" s="5" t="inlineStr">
        <is>
          <t>Natalia Gómez Reyes</t>
        </is>
      </c>
      <c r="D40" s="7" t="inlineStr">
        <is>
          <t>T4 · VERDE</t>
        </is>
      </c>
      <c r="E40" s="5" t="inlineStr">
        <is>
          <t>Fiebre alta con convulsión</t>
        </is>
      </c>
      <c r="F40" s="6" t="n">
        <v>3</v>
      </c>
      <c r="G40" s="6" t="inlineStr">
        <is>
          <t>Infante</t>
        </is>
      </c>
      <c r="H40" s="6" t="n">
        <v>25</v>
      </c>
      <c r="I40" s="6" t="n">
        <v>1355</v>
      </c>
      <c r="J40" s="5" t="inlineStr">
        <is>
          <t>Felipe Herrera</t>
        </is>
      </c>
    </row>
    <row r="41">
      <c r="A41" s="14" t="n">
        <v>38</v>
      </c>
      <c r="B41" s="6" t="n">
        <v>5</v>
      </c>
      <c r="C41" s="5" t="inlineStr">
        <is>
          <t>Natalia Muñoz Pardo</t>
        </is>
      </c>
      <c r="D41" s="7" t="inlineStr">
        <is>
          <t>T4 · VERDE</t>
        </is>
      </c>
      <c r="E41" s="5" t="inlineStr">
        <is>
          <t>Fiebre alta con convulsión</t>
        </is>
      </c>
      <c r="F41" s="6" t="n">
        <v>4</v>
      </c>
      <c r="G41" s="6" t="inlineStr">
        <is>
          <t>Infante</t>
        </is>
      </c>
      <c r="H41" s="6" t="n">
        <v>25</v>
      </c>
      <c r="I41" s="6" t="n">
        <v>1380</v>
      </c>
      <c r="J41" s="5" t="inlineStr">
        <is>
          <t>Sofía Torres</t>
        </is>
      </c>
    </row>
    <row r="42">
      <c r="A42" s="13" t="n">
        <v>39</v>
      </c>
      <c r="B42" s="6" t="n">
        <v>31</v>
      </c>
      <c r="C42" s="5" t="inlineStr">
        <is>
          <t>Ricardo Medina Herrera</t>
        </is>
      </c>
      <c r="D42" s="7" t="inlineStr">
        <is>
          <t>T4 · VERDE</t>
        </is>
      </c>
      <c r="E42" s="5" t="inlineStr">
        <is>
          <t>Fiebre alta con convulsión</t>
        </is>
      </c>
      <c r="F42" s="6" t="n">
        <v>2</v>
      </c>
      <c r="G42" s="6" t="inlineStr">
        <is>
          <t>Infante</t>
        </is>
      </c>
      <c r="H42" s="6" t="n">
        <v>25</v>
      </c>
      <c r="I42" s="6" t="n">
        <v>1405</v>
      </c>
      <c r="J42" s="5" t="inlineStr">
        <is>
          <t>Sofía Torres</t>
        </is>
      </c>
    </row>
    <row r="43">
      <c r="A43" s="14" t="n">
        <v>40</v>
      </c>
      <c r="B43" s="6" t="n">
        <v>18</v>
      </c>
      <c r="C43" s="5" t="inlineStr">
        <is>
          <t>Miguel Torres Reyes</t>
        </is>
      </c>
      <c r="D43" s="7" t="inlineStr">
        <is>
          <t>T4 · VERDE</t>
        </is>
      </c>
      <c r="E43" s="5" t="inlineStr">
        <is>
          <t>Herida con sangrado moderado</t>
        </is>
      </c>
      <c r="F43" s="6" t="n">
        <v>63</v>
      </c>
      <c r="G43" s="6" t="inlineStr">
        <is>
          <t>Adulto mayor</t>
        </is>
      </c>
      <c r="H43" s="6" t="n">
        <v>20</v>
      </c>
      <c r="I43" s="6" t="n">
        <v>1430</v>
      </c>
      <c r="J43" s="5" t="inlineStr">
        <is>
          <t>Andrés Martínez</t>
        </is>
      </c>
    </row>
    <row r="44">
      <c r="A44" s="13" t="n">
        <v>41</v>
      </c>
      <c r="B44" s="6" t="n">
        <v>41</v>
      </c>
      <c r="C44" s="5" t="inlineStr">
        <is>
          <t>María Medina Martínez</t>
        </is>
      </c>
      <c r="D44" s="7" t="inlineStr">
        <is>
          <t>T4 · VERDE</t>
        </is>
      </c>
      <c r="E44" s="5" t="inlineStr">
        <is>
          <t>Herida con sangrado moderado</t>
        </is>
      </c>
      <c r="F44" s="6" t="n">
        <v>69</v>
      </c>
      <c r="G44" s="6" t="inlineStr">
        <is>
          <t>Adulto mayor</t>
        </is>
      </c>
      <c r="H44" s="6" t="n">
        <v>20</v>
      </c>
      <c r="I44" s="6" t="n">
        <v>1450</v>
      </c>
      <c r="J44" s="5" t="inlineStr">
        <is>
          <t>Felipe Herrera</t>
        </is>
      </c>
    </row>
    <row r="45">
      <c r="A45" s="14" t="n">
        <v>42</v>
      </c>
      <c r="B45" s="6" t="n">
        <v>2</v>
      </c>
      <c r="C45" s="5" t="inlineStr">
        <is>
          <t>Juan Medina Alvarado</t>
        </is>
      </c>
      <c r="D45" s="7" t="inlineStr">
        <is>
          <t>T4 · VERDE</t>
        </is>
      </c>
      <c r="E45" s="5" t="inlineStr">
        <is>
          <t>Fiebre alta con convulsión</t>
        </is>
      </c>
      <c r="F45" s="6" t="n">
        <v>70</v>
      </c>
      <c r="G45" s="6" t="inlineStr">
        <is>
          <t>Adulto mayor</t>
        </is>
      </c>
      <c r="H45" s="6" t="n">
        <v>25</v>
      </c>
      <c r="I45" s="6" t="n">
        <v>1470</v>
      </c>
      <c r="J45" s="5" t="inlineStr">
        <is>
          <t>Laura Gómez</t>
        </is>
      </c>
    </row>
    <row r="46">
      <c r="A46" s="13" t="n">
        <v>43</v>
      </c>
      <c r="B46" s="6" t="n">
        <v>24</v>
      </c>
      <c r="C46" s="5" t="inlineStr">
        <is>
          <t>Ana Díaz Rodríguez</t>
        </is>
      </c>
      <c r="D46" s="7" t="inlineStr">
        <is>
          <t>T4 · VERDE</t>
        </is>
      </c>
      <c r="E46" s="5" t="inlineStr">
        <is>
          <t>Fiebre alta con convulsión</t>
        </is>
      </c>
      <c r="F46" s="6" t="n">
        <v>72</v>
      </c>
      <c r="G46" s="6" t="inlineStr">
        <is>
          <t>Adulto mayor</t>
        </is>
      </c>
      <c r="H46" s="6" t="n">
        <v>25</v>
      </c>
      <c r="I46" s="6" t="n">
        <v>1495</v>
      </c>
      <c r="J46" s="5" t="inlineStr">
        <is>
          <t>Sofía Torres</t>
        </is>
      </c>
    </row>
    <row r="47">
      <c r="A47" s="14" t="n">
        <v>44</v>
      </c>
      <c r="B47" s="6" t="n">
        <v>12</v>
      </c>
      <c r="C47" s="5" t="inlineStr">
        <is>
          <t>Fernanda Sánchez López</t>
        </is>
      </c>
      <c r="D47" s="7" t="inlineStr">
        <is>
          <t>T4 · VERDE</t>
        </is>
      </c>
      <c r="E47" s="5" t="inlineStr">
        <is>
          <t>Fiebre alta con convulsión</t>
        </is>
      </c>
      <c r="F47" s="6" t="n">
        <v>29</v>
      </c>
      <c r="G47" s="6" t="inlineStr">
        <is>
          <t>Adulto</t>
        </is>
      </c>
      <c r="H47" s="6" t="n">
        <v>25</v>
      </c>
      <c r="I47" s="6" t="n">
        <v>1520</v>
      </c>
      <c r="J47" s="5" t="inlineStr">
        <is>
          <t>Laura Gómez</t>
        </is>
      </c>
    </row>
    <row r="48">
      <c r="A48" s="13" t="n">
        <v>45</v>
      </c>
      <c r="B48" s="6" t="n">
        <v>21</v>
      </c>
      <c r="C48" s="5" t="inlineStr">
        <is>
          <t>Nicolás Torres Bernal</t>
        </is>
      </c>
      <c r="D48" s="7" t="inlineStr">
        <is>
          <t>T4 · VERDE</t>
        </is>
      </c>
      <c r="E48" s="5" t="inlineStr">
        <is>
          <t>Fiebre alta con convulsión</t>
        </is>
      </c>
      <c r="F48" s="6" t="n">
        <v>18</v>
      </c>
      <c r="G48" s="6" t="inlineStr">
        <is>
          <t>Adulto</t>
        </is>
      </c>
      <c r="H48" s="6" t="n">
        <v>25</v>
      </c>
      <c r="I48" s="6" t="n">
        <v>1545</v>
      </c>
      <c r="J48" s="5" t="inlineStr">
        <is>
          <t>Andrés Martínez</t>
        </is>
      </c>
    </row>
    <row r="49">
      <c r="A49" s="14" t="n">
        <v>46</v>
      </c>
      <c r="B49" s="6" t="n">
        <v>3</v>
      </c>
      <c r="C49" s="5" t="inlineStr">
        <is>
          <t>Sofía Martínez Morales</t>
        </is>
      </c>
      <c r="D49" s="7" t="inlineStr">
        <is>
          <t>T4 · VERDE</t>
        </is>
      </c>
      <c r="E49" s="5" t="inlineStr">
        <is>
          <t>Herida con sangrado moderado</t>
        </is>
      </c>
      <c r="F49" s="6" t="n">
        <v>41</v>
      </c>
      <c r="G49" s="6" t="inlineStr">
        <is>
          <t>Adulto</t>
        </is>
      </c>
      <c r="H49" s="6" t="n">
        <v>20</v>
      </c>
      <c r="I49" s="6" t="n">
        <v>1570</v>
      </c>
      <c r="J49" s="5" t="inlineStr">
        <is>
          <t>Carlos Ramírez</t>
        </is>
      </c>
    </row>
    <row r="50">
      <c r="A50" s="13" t="n">
        <v>47</v>
      </c>
      <c r="B50" s="6" t="n">
        <v>40</v>
      </c>
      <c r="C50" s="5" t="inlineStr">
        <is>
          <t>Luis Alvarado Pardo</t>
        </is>
      </c>
      <c r="D50" s="7" t="inlineStr">
        <is>
          <t>T4 · VERDE</t>
        </is>
      </c>
      <c r="E50" s="5" t="inlineStr">
        <is>
          <t>Fiebre alta con convulsión</t>
        </is>
      </c>
      <c r="F50" s="6" t="n">
        <v>19</v>
      </c>
      <c r="G50" s="6" t="inlineStr">
        <is>
          <t>Adulto</t>
        </is>
      </c>
      <c r="H50" s="6" t="n">
        <v>25</v>
      </c>
      <c r="I50" s="6" t="n">
        <v>1590</v>
      </c>
      <c r="J50" s="5" t="inlineStr">
        <is>
          <t>Carlos Ramírez</t>
        </is>
      </c>
    </row>
    <row r="51">
      <c r="A51" s="14" t="n">
        <v>48</v>
      </c>
      <c r="B51" s="6" t="n">
        <v>30</v>
      </c>
      <c r="C51" s="5" t="inlineStr">
        <is>
          <t>Mariana López Muñoz</t>
        </is>
      </c>
      <c r="D51" s="7" t="inlineStr">
        <is>
          <t>T4 · VERDE</t>
        </is>
      </c>
      <c r="E51" s="5" t="inlineStr">
        <is>
          <t>Herida con sangrado moderado</t>
        </is>
      </c>
      <c r="F51" s="6" t="n">
        <v>58</v>
      </c>
      <c r="G51" s="6" t="inlineStr">
        <is>
          <t>Adulto</t>
        </is>
      </c>
      <c r="H51" s="6" t="n">
        <v>20</v>
      </c>
      <c r="I51" s="6" t="n">
        <v>1615</v>
      </c>
      <c r="J51" s="5" t="inlineStr">
        <is>
          <t>Felipe Herrera</t>
        </is>
      </c>
    </row>
    <row r="52">
      <c r="A52" s="13" t="n">
        <v>49</v>
      </c>
      <c r="B52" s="6" t="n">
        <v>1</v>
      </c>
      <c r="C52" s="5" t="inlineStr">
        <is>
          <t>Carlos Bernal Pardo</t>
        </is>
      </c>
      <c r="D52" s="7" t="inlineStr">
        <is>
          <t>T4 · VERDE</t>
        </is>
      </c>
      <c r="E52" s="5" t="inlineStr">
        <is>
          <t>Fiebre alta con convulsión</t>
        </is>
      </c>
      <c r="F52" s="6" t="n">
        <v>26</v>
      </c>
      <c r="G52" s="6" t="inlineStr">
        <is>
          <t>Adulto</t>
        </is>
      </c>
      <c r="H52" s="6" t="n">
        <v>25</v>
      </c>
      <c r="I52" s="6" t="n">
        <v>1635</v>
      </c>
      <c r="J52" s="5" t="inlineStr">
        <is>
          <t>Sofía Torres</t>
        </is>
      </c>
    </row>
    <row r="53">
      <c r="A53" s="14" t="n">
        <v>50</v>
      </c>
      <c r="B53" s="6" t="n">
        <v>15</v>
      </c>
      <c r="C53" s="5" t="inlineStr">
        <is>
          <t>Miguel Ríos Pardo</t>
        </is>
      </c>
      <c r="D53" s="7" t="inlineStr">
        <is>
          <t>T4 · VERDE</t>
        </is>
      </c>
      <c r="E53" s="5" t="inlineStr">
        <is>
          <t>Fiebre alta con convulsión</t>
        </is>
      </c>
      <c r="F53" s="6" t="n">
        <v>29</v>
      </c>
      <c r="G53" s="6" t="inlineStr">
        <is>
          <t>Adulto</t>
        </is>
      </c>
      <c r="H53" s="6" t="n">
        <v>25</v>
      </c>
      <c r="I53" s="6" t="n">
        <v>1660</v>
      </c>
      <c r="J53" s="5" t="inlineStr">
        <is>
          <t>Felipe Herrera</t>
        </is>
      </c>
    </row>
    <row r="54">
      <c r="A54" s="13" t="n">
        <v>51</v>
      </c>
      <c r="B54" s="6" t="n">
        <v>58</v>
      </c>
      <c r="C54" s="5" t="inlineStr">
        <is>
          <t>Santiago Ríos Ospina</t>
        </is>
      </c>
      <c r="D54" s="8" t="inlineStr">
        <is>
          <t>T5 · AZUL</t>
        </is>
      </c>
      <c r="E54" s="5" t="inlineStr">
        <is>
          <t>Dolor leve / Malestar general</t>
        </is>
      </c>
      <c r="F54" s="6" t="n">
        <v>0</v>
      </c>
      <c r="G54" s="6" t="inlineStr">
        <is>
          <t>Neonato</t>
        </is>
      </c>
      <c r="H54" s="6" t="n">
        <v>15</v>
      </c>
      <c r="I54" s="6" t="n">
        <v>1685</v>
      </c>
      <c r="J54" s="5" t="inlineStr">
        <is>
          <t>Carlos Ramírez</t>
        </is>
      </c>
    </row>
    <row r="55">
      <c r="A55" s="14" t="n">
        <v>52</v>
      </c>
      <c r="B55" s="6" t="n">
        <v>9</v>
      </c>
      <c r="C55" s="5" t="inlineStr">
        <is>
          <t>Valentina López Ramírez</t>
        </is>
      </c>
      <c r="D55" s="8" t="inlineStr">
        <is>
          <t>T5 · AZUL</t>
        </is>
      </c>
      <c r="E55" s="5" t="inlineStr">
        <is>
          <t>Consulta menor (gripe, tos)</t>
        </is>
      </c>
      <c r="F55" s="6" t="n">
        <v>88</v>
      </c>
      <c r="G55" s="6" t="inlineStr">
        <is>
          <t>Anciano</t>
        </is>
      </c>
      <c r="H55" s="6" t="n">
        <v>10</v>
      </c>
      <c r="I55" s="6" t="n">
        <v>1700</v>
      </c>
      <c r="J55" s="5" t="inlineStr">
        <is>
          <t>Felipe Herrera</t>
        </is>
      </c>
    </row>
    <row r="56">
      <c r="A56" s="13" t="n">
        <v>53</v>
      </c>
      <c r="B56" s="6" t="n">
        <v>52</v>
      </c>
      <c r="C56" s="5" t="inlineStr">
        <is>
          <t>María Ospina Alvarado</t>
        </is>
      </c>
      <c r="D56" s="8" t="inlineStr">
        <is>
          <t>T5 · AZUL</t>
        </is>
      </c>
      <c r="E56" s="5" t="inlineStr">
        <is>
          <t>Dolor leve / Malestar general</t>
        </is>
      </c>
      <c r="F56" s="6" t="n">
        <v>4</v>
      </c>
      <c r="G56" s="6" t="inlineStr">
        <is>
          <t>Infante</t>
        </is>
      </c>
      <c r="H56" s="6" t="n">
        <v>15</v>
      </c>
      <c r="I56" s="6" t="n">
        <v>1710</v>
      </c>
      <c r="J56" s="5" t="inlineStr">
        <is>
          <t>Carlos Ramírez</t>
        </is>
      </c>
    </row>
    <row r="57">
      <c r="A57" s="14" t="n">
        <v>54</v>
      </c>
      <c r="B57" s="6" t="n">
        <v>42</v>
      </c>
      <c r="C57" s="5" t="inlineStr">
        <is>
          <t>Isabella Jiménez Martínez</t>
        </is>
      </c>
      <c r="D57" s="8" t="inlineStr">
        <is>
          <t>T5 · AZUL</t>
        </is>
      </c>
      <c r="E57" s="5" t="inlineStr">
        <is>
          <t>Dolor leve / Malestar general</t>
        </is>
      </c>
      <c r="F57" s="6" t="n">
        <v>67</v>
      </c>
      <c r="G57" s="6" t="inlineStr">
        <is>
          <t>Adulto mayor</t>
        </is>
      </c>
      <c r="H57" s="6" t="n">
        <v>15</v>
      </c>
      <c r="I57" s="6" t="n">
        <v>1725</v>
      </c>
      <c r="J57" s="5" t="inlineStr">
        <is>
          <t>Andrés Martínez</t>
        </is>
      </c>
    </row>
    <row r="58">
      <c r="A58" s="13" t="n">
        <v>55</v>
      </c>
      <c r="B58" s="6" t="n">
        <v>27</v>
      </c>
      <c r="C58" s="5" t="inlineStr">
        <is>
          <t>Andrés Cruz Rodríguez</t>
        </is>
      </c>
      <c r="D58" s="8" t="inlineStr">
        <is>
          <t>T5 · AZUL</t>
        </is>
      </c>
      <c r="E58" s="5" t="inlineStr">
        <is>
          <t>Dolor leve / Malestar general</t>
        </is>
      </c>
      <c r="F58" s="6" t="n">
        <v>71</v>
      </c>
      <c r="G58" s="6" t="inlineStr">
        <is>
          <t>Adulto mayor</t>
        </is>
      </c>
      <c r="H58" s="6" t="n">
        <v>15</v>
      </c>
      <c r="I58" s="6" t="n">
        <v>1740</v>
      </c>
      <c r="J58" s="5" t="inlineStr">
        <is>
          <t>Felipe Herrera</t>
        </is>
      </c>
    </row>
    <row r="59">
      <c r="A59" s="14" t="n">
        <v>56</v>
      </c>
      <c r="B59" s="6" t="n">
        <v>59</v>
      </c>
      <c r="C59" s="5" t="inlineStr">
        <is>
          <t>Claudia García García</t>
        </is>
      </c>
      <c r="D59" s="8" t="inlineStr">
        <is>
          <t>T5 · AZUL</t>
        </is>
      </c>
      <c r="E59" s="5" t="inlineStr">
        <is>
          <t>Dolor leve / Malestar general</t>
        </is>
      </c>
      <c r="F59" s="6" t="n">
        <v>52</v>
      </c>
      <c r="G59" s="6" t="inlineStr">
        <is>
          <t>Adulto</t>
        </is>
      </c>
      <c r="H59" s="6" t="n">
        <v>15</v>
      </c>
      <c r="I59" s="6" t="n">
        <v>1755</v>
      </c>
      <c r="J59" s="5" t="inlineStr">
        <is>
          <t>Carlos Ramírez</t>
        </is>
      </c>
    </row>
    <row r="60">
      <c r="A60" s="13" t="n">
        <v>57</v>
      </c>
      <c r="B60" s="6" t="n">
        <v>6</v>
      </c>
      <c r="C60" s="5" t="inlineStr">
        <is>
          <t>Jorge Gómez Castro</t>
        </is>
      </c>
      <c r="D60" s="8" t="inlineStr">
        <is>
          <t>T5 · AZUL</t>
        </is>
      </c>
      <c r="E60" s="5" t="inlineStr">
        <is>
          <t>Consulta menor (gripe, tos)</t>
        </is>
      </c>
      <c r="F60" s="6" t="n">
        <v>31</v>
      </c>
      <c r="G60" s="6" t="inlineStr">
        <is>
          <t>Adulto</t>
        </is>
      </c>
      <c r="H60" s="6" t="n">
        <v>10</v>
      </c>
      <c r="I60" s="6" t="n">
        <v>1770</v>
      </c>
      <c r="J60" s="5" t="inlineStr">
        <is>
          <t>Sofía Torres</t>
        </is>
      </c>
    </row>
    <row r="61">
      <c r="A61" s="14" t="n">
        <v>58</v>
      </c>
      <c r="B61" s="6" t="n">
        <v>4</v>
      </c>
      <c r="C61" s="5" t="inlineStr">
        <is>
          <t>Santiago Martínez Gómez</t>
        </is>
      </c>
      <c r="D61" s="8" t="inlineStr">
        <is>
          <t>T5 · AZUL</t>
        </is>
      </c>
      <c r="E61" s="5" t="inlineStr">
        <is>
          <t>Dolor leve / Malestar general</t>
        </is>
      </c>
      <c r="F61" s="6" t="n">
        <v>26</v>
      </c>
      <c r="G61" s="6" t="inlineStr">
        <is>
          <t>Adulto</t>
        </is>
      </c>
      <c r="H61" s="6" t="n">
        <v>15</v>
      </c>
      <c r="I61" s="6" t="n">
        <v>1780</v>
      </c>
      <c r="J61" s="5" t="inlineStr">
        <is>
          <t>Andrés Martínez</t>
        </is>
      </c>
    </row>
    <row r="62">
      <c r="A62" s="13" t="n">
        <v>59</v>
      </c>
      <c r="B62" s="6" t="n">
        <v>38</v>
      </c>
      <c r="C62" s="5" t="inlineStr">
        <is>
          <t>Carlos Pardo Morales</t>
        </is>
      </c>
      <c r="D62" s="8" t="inlineStr">
        <is>
          <t>T5 · AZUL</t>
        </is>
      </c>
      <c r="E62" s="5" t="inlineStr">
        <is>
          <t>Consulta menor (gripe, tos)</t>
        </is>
      </c>
      <c r="F62" s="6" t="n">
        <v>24</v>
      </c>
      <c r="G62" s="6" t="inlineStr">
        <is>
          <t>Adulto</t>
        </is>
      </c>
      <c r="H62" s="6" t="n">
        <v>10</v>
      </c>
      <c r="I62" s="6" t="n">
        <v>1795</v>
      </c>
      <c r="J62" s="5" t="inlineStr">
        <is>
          <t>Sofía Torres</t>
        </is>
      </c>
    </row>
    <row r="63">
      <c r="A63" s="14" t="n">
        <v>60</v>
      </c>
      <c r="B63" s="6" t="n">
        <v>26</v>
      </c>
      <c r="C63" s="5" t="inlineStr">
        <is>
          <t>Daniela Pardo Martínez</t>
        </is>
      </c>
      <c r="D63" s="8" t="inlineStr">
        <is>
          <t>T5 · AZUL</t>
        </is>
      </c>
      <c r="E63" s="5" t="inlineStr">
        <is>
          <t>Consulta menor (gripe, tos)</t>
        </is>
      </c>
      <c r="F63" s="6" t="n">
        <v>40</v>
      </c>
      <c r="G63" s="6" t="inlineStr">
        <is>
          <t>Adulto</t>
        </is>
      </c>
      <c r="H63" s="6" t="n">
        <v>10</v>
      </c>
      <c r="I63" s="6" t="n">
        <v>1805</v>
      </c>
      <c r="J63" s="5" t="inlineStr">
        <is>
          <t>Carlos Ramírez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📊 DASHBOARD GENERAL — SIMULACIÓN HORAS PICO URGENCIAS</t>
        </is>
      </c>
    </row>
    <row r="3">
      <c r="A3" s="15" t="inlineStr">
        <is>
          <t>KPIs GLOBALES</t>
        </is>
      </c>
      <c r="F3" s="15" t="inlineStr">
        <is>
          <t>DISTRIBUCIÓN POR TRIAGE</t>
        </is>
      </c>
    </row>
    <row r="4">
      <c r="A4" s="16" t="inlineStr">
        <is>
          <t>Total pacientes</t>
        </is>
      </c>
      <c r="B4" s="17" t="n">
        <v>60</v>
      </c>
      <c r="F4" s="3" t="inlineStr">
        <is>
          <t>NIVEL TRIAGE</t>
        </is>
      </c>
      <c r="G4" s="3" t="inlineStr">
        <is>
          <t>N° PACIENTES</t>
        </is>
      </c>
      <c r="H4" s="3" t="inlineStr">
        <is>
          <t>% DEL TOTAL</t>
        </is>
      </c>
      <c r="I4" s="3" t="inlineStr">
        <is>
          <t>T. ATENC. PROM.</t>
        </is>
      </c>
      <c r="J4" s="3" t="inlineStr">
        <is>
          <t>T. ESPERA PROM.</t>
        </is>
      </c>
    </row>
    <row r="5">
      <c r="A5" s="16" t="inlineStr">
        <is>
          <t>T. espera prom. (min)</t>
        </is>
      </c>
      <c r="B5" s="17" t="n">
        <v>70.5</v>
      </c>
      <c r="F5" s="11" t="inlineStr">
        <is>
          <t>T1 · ROJO</t>
        </is>
      </c>
      <c r="G5" s="6" t="n">
        <v>4</v>
      </c>
      <c r="H5" s="6" t="inlineStr">
        <is>
          <t>6.7%</t>
        </is>
      </c>
      <c r="I5" s="6" t="inlineStr">
        <is>
          <t>67.5 min</t>
        </is>
      </c>
      <c r="J5" s="6" t="inlineStr">
        <is>
          <t>64.8 min</t>
        </is>
      </c>
    </row>
    <row r="6">
      <c r="A6" s="16" t="inlineStr">
        <is>
          <t>T. atención prom. (min)</t>
        </is>
      </c>
      <c r="B6" s="17" t="n">
        <v>30.2</v>
      </c>
      <c r="F6" s="10" t="inlineStr">
        <is>
          <t>T2 · NARANJA</t>
        </is>
      </c>
      <c r="G6" s="6" t="n">
        <v>6</v>
      </c>
      <c r="H6" s="6" t="inlineStr">
        <is>
          <t>10.0%</t>
        </is>
      </c>
      <c r="I6" s="6" t="inlineStr">
        <is>
          <t>46.7 min</t>
        </is>
      </c>
      <c r="J6" s="6" t="inlineStr">
        <is>
          <t>77.0 min</t>
        </is>
      </c>
    </row>
    <row r="7">
      <c r="A7" s="16" t="inlineStr">
        <is>
          <t>T. total prom. (min)</t>
        </is>
      </c>
      <c r="B7" s="17" t="n">
        <v>100.7</v>
      </c>
      <c r="F7" s="9" t="inlineStr">
        <is>
          <t>T3 · AMARILLO</t>
        </is>
      </c>
      <c r="G7" s="6" t="n">
        <v>22</v>
      </c>
      <c r="H7" s="6" t="inlineStr">
        <is>
          <t>36.7%</t>
        </is>
      </c>
      <c r="I7" s="6" t="inlineStr">
        <is>
          <t>32.5 min</t>
        </is>
      </c>
      <c r="J7" s="6" t="inlineStr">
        <is>
          <t>69.8 min</t>
        </is>
      </c>
    </row>
    <row r="8">
      <c r="A8" s="16" t="inlineStr">
        <is>
          <t>T. espera máx (min)</t>
        </is>
      </c>
      <c r="B8" s="17" t="n">
        <v>120</v>
      </c>
      <c r="F8" s="7" t="inlineStr">
        <is>
          <t>T4 · VERDE</t>
        </is>
      </c>
      <c r="G8" s="6" t="n">
        <v>18</v>
      </c>
      <c r="H8" s="6" t="inlineStr">
        <is>
          <t>30.0%</t>
        </is>
      </c>
      <c r="I8" s="6" t="inlineStr">
        <is>
          <t>23.3 min</t>
        </is>
      </c>
      <c r="J8" s="6" t="inlineStr">
        <is>
          <t>69.3 min</t>
        </is>
      </c>
    </row>
    <row r="9">
      <c r="A9" s="16" t="inlineStr">
        <is>
          <t>T. total máx (min)</t>
        </is>
      </c>
      <c r="B9" s="17" t="n">
        <v>192</v>
      </c>
      <c r="F9" s="8" t="inlineStr">
        <is>
          <t>T5 · AZUL</t>
        </is>
      </c>
      <c r="G9" s="6" t="n">
        <v>10</v>
      </c>
      <c r="H9" s="6" t="inlineStr">
        <is>
          <t>16.7%</t>
        </is>
      </c>
      <c r="I9" s="6" t="inlineStr">
        <is>
          <t>13.0 min</t>
        </is>
      </c>
      <c r="J9" s="6" t="inlineStr">
        <is>
          <t>72.5 min</t>
        </is>
      </c>
    </row>
    <row r="10">
      <c r="A10" s="16" t="inlineStr">
        <is>
          <t>Pacientes T1 críticos</t>
        </is>
      </c>
      <c r="B10" s="17" t="n">
        <v>4</v>
      </c>
    </row>
    <row r="11">
      <c r="A11" s="16" t="inlineStr">
        <is>
          <t>Doctores en turno</t>
        </is>
      </c>
      <c r="B11" s="17" t="n">
        <v>5</v>
      </c>
    </row>
    <row r="12">
      <c r="A12" s="15" t="inlineStr">
        <is>
          <t>CARGA POR DOCTOR</t>
        </is>
      </c>
    </row>
    <row r="13">
      <c r="A13" s="3" t="inlineStr">
        <is>
          <t>ID</t>
        </is>
      </c>
      <c r="B13" s="3" t="inlineStr">
        <is>
          <t>NOMBRE</t>
        </is>
      </c>
      <c r="C13" s="3" t="inlineStr">
        <is>
          <t>ESPECIALIDAD</t>
        </is>
      </c>
      <c r="D13" s="3" t="inlineStr">
        <is>
          <t>N° PACIENTES</t>
        </is>
      </c>
      <c r="E13" s="3" t="inlineStr">
        <is>
          <t>T. TOTAL CARGA (min)</t>
        </is>
      </c>
    </row>
    <row r="14">
      <c r="A14" s="18" t="inlineStr">
        <is>
          <t>MED001</t>
        </is>
      </c>
      <c r="B14" s="19" t="inlineStr">
        <is>
          <t>Carlos Ramírez</t>
        </is>
      </c>
      <c r="C14" s="19" t="inlineStr">
        <is>
          <t>Medicina de Emergencias</t>
        </is>
      </c>
      <c r="D14" s="20" t="n">
        <v>12</v>
      </c>
      <c r="E14" s="18" t="n">
        <v>365</v>
      </c>
    </row>
    <row r="15">
      <c r="A15" s="21" t="inlineStr">
        <is>
          <t>MED002</t>
        </is>
      </c>
      <c r="B15" s="22" t="inlineStr">
        <is>
          <t>Laura Gómez</t>
        </is>
      </c>
      <c r="C15" s="22" t="inlineStr">
        <is>
          <t>Cirugía General</t>
        </is>
      </c>
      <c r="D15" s="14" t="n">
        <v>7</v>
      </c>
      <c r="E15" s="21" t="n">
        <v>250</v>
      </c>
    </row>
    <row r="16">
      <c r="A16" s="18" t="inlineStr">
        <is>
          <t>MED003</t>
        </is>
      </c>
      <c r="B16" s="19" t="inlineStr">
        <is>
          <t>Andrés Martínez</t>
        </is>
      </c>
      <c r="C16" s="19" t="inlineStr">
        <is>
          <t>Cardiología</t>
        </is>
      </c>
      <c r="D16" s="20" t="n">
        <v>13</v>
      </c>
      <c r="E16" s="18" t="n">
        <v>425</v>
      </c>
    </row>
    <row r="17">
      <c r="A17" s="21" t="inlineStr">
        <is>
          <t>MED004</t>
        </is>
      </c>
      <c r="B17" s="22" t="inlineStr">
        <is>
          <t>Sofía Torres</t>
        </is>
      </c>
      <c r="C17" s="22" t="inlineStr">
        <is>
          <t>Neurología</t>
        </is>
      </c>
      <c r="D17" s="14" t="n">
        <v>12</v>
      </c>
      <c r="E17" s="21" t="n">
        <v>315</v>
      </c>
    </row>
    <row r="18">
      <c r="A18" s="18" t="inlineStr">
        <is>
          <t>MED005</t>
        </is>
      </c>
      <c r="B18" s="19" t="inlineStr">
        <is>
          <t>Felipe Herrera</t>
        </is>
      </c>
      <c r="C18" s="19" t="inlineStr">
        <is>
          <t>Traumatología</t>
        </is>
      </c>
      <c r="D18" s="20" t="n">
        <v>16</v>
      </c>
      <c r="E18" s="18" t="n">
        <v>460</v>
      </c>
    </row>
    <row r="19">
      <c r="A19" s="23" t="inlineStr">
        <is>
          <t>NIVEL</t>
        </is>
      </c>
      <c r="B19" s="23" t="inlineStr">
        <is>
          <t>CANT</t>
        </is>
      </c>
    </row>
    <row r="20">
      <c r="A20" t="inlineStr">
        <is>
          <t>T1 · ROJO</t>
        </is>
      </c>
      <c r="B20" t="n">
        <v>4</v>
      </c>
    </row>
    <row r="21">
      <c r="A21" t="inlineStr">
        <is>
          <t>T2 · NARANJA</t>
        </is>
      </c>
      <c r="B21" t="n">
        <v>6</v>
      </c>
    </row>
    <row r="22">
      <c r="A22" t="inlineStr">
        <is>
          <t>T3 · AMARILLO</t>
        </is>
      </c>
      <c r="B22" t="n">
        <v>22</v>
      </c>
    </row>
    <row r="23">
      <c r="A23" t="inlineStr">
        <is>
          <t>T4 · VERDE</t>
        </is>
      </c>
      <c r="B23" t="n">
        <v>18</v>
      </c>
    </row>
    <row r="24">
      <c r="A24" t="inlineStr">
        <is>
          <t>T5 · AZUL</t>
        </is>
      </c>
      <c r="B24" t="n">
        <v>10</v>
      </c>
    </row>
    <row r="27">
      <c r="A27" s="23" t="inlineStr">
        <is>
          <t>DOCTOR</t>
        </is>
      </c>
      <c r="B27" s="23" t="inlineStr">
        <is>
          <t>PACIENTES</t>
        </is>
      </c>
    </row>
    <row r="28">
      <c r="A28" t="inlineStr">
        <is>
          <t>Carlos</t>
        </is>
      </c>
      <c r="B28" t="n">
        <v>12</v>
      </c>
    </row>
    <row r="29">
      <c r="A29" t="inlineStr">
        <is>
          <t>Laura</t>
        </is>
      </c>
      <c r="B29" t="n">
        <v>7</v>
      </c>
    </row>
    <row r="30">
      <c r="A30" t="inlineStr">
        <is>
          <t>Andrés</t>
        </is>
      </c>
      <c r="B30" t="n">
        <v>13</v>
      </c>
    </row>
    <row r="31">
      <c r="A31" t="inlineStr">
        <is>
          <t>Sofía</t>
        </is>
      </c>
      <c r="B31" t="n">
        <v>12</v>
      </c>
    </row>
    <row r="32">
      <c r="A32" t="inlineStr">
        <is>
          <t>Felipe</t>
        </is>
      </c>
      <c r="B32" t="n">
        <v>16</v>
      </c>
    </row>
  </sheetData>
  <mergeCells count="4">
    <mergeCell ref="A1:J1"/>
    <mergeCell ref="A12:E12"/>
    <mergeCell ref="F3:J3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6" customWidth="1" min="3" max="3"/>
    <col width="14" customWidth="1" min="4" max="4"/>
    <col width="34" customWidth="1" min="5" max="5"/>
    <col width="6" customWidth="1" min="6" max="6"/>
    <col width="14" customWidth="1" min="7" max="7"/>
    <col width="10" customWidth="1" min="8" max="8"/>
    <col width="14" customWidth="1" min="9" max="9"/>
    <col width="15" customWidth="1" min="10" max="10"/>
    <col width="12" customWidth="1" min="11" max="11"/>
    <col width="24" customWidth="1" min="12" max="12"/>
  </cols>
  <sheetData>
    <row r="1">
      <c r="A1" s="12" t="inlineStr">
        <is>
          <t>👤 DASHBOARD POR PACIENTE — TIEMPOS Y PRIORIDAD EN COLA</t>
        </is>
      </c>
    </row>
    <row r="2">
      <c r="A2" s="2" t="inlineStr">
        <is>
          <t>Cada fila = un paciente con sus métricas de atención. Coloreado por nivel de triage.</t>
        </is>
      </c>
    </row>
    <row r="3">
      <c r="A3" s="3" t="inlineStr">
        <is>
          <t>POS. COLA</t>
        </is>
      </c>
      <c r="B3" s="3" t="inlineStr">
        <is>
          <t>N° TURNO</t>
        </is>
      </c>
      <c r="C3" s="3" t="inlineStr">
        <is>
          <t>NOMBRE</t>
        </is>
      </c>
      <c r="D3" s="3" t="inlineStr">
        <is>
          <t>TRIAGE</t>
        </is>
      </c>
      <c r="E3" s="3" t="inlineStr">
        <is>
          <t>TIPO EMERGENCIA</t>
        </is>
      </c>
      <c r="F3" s="3" t="inlineStr">
        <is>
          <t>EDAD</t>
        </is>
      </c>
      <c r="G3" s="3" t="inlineStr">
        <is>
          <t>GRUPO EDAD</t>
        </is>
      </c>
      <c r="H3" s="3" t="inlineStr">
        <is>
          <t>HORA REG.</t>
        </is>
      </c>
      <c r="I3" s="3" t="inlineStr">
        <is>
          <t>T. ESPERA (min)</t>
        </is>
      </c>
      <c r="J3" s="3" t="inlineStr">
        <is>
          <t>T. ATENCIÓN (min)</t>
        </is>
      </c>
      <c r="K3" s="3" t="inlineStr">
        <is>
          <t>T. TOTAL (min)</t>
        </is>
      </c>
      <c r="L3" s="3" t="inlineStr">
        <is>
          <t>DOCTOR</t>
        </is>
      </c>
    </row>
    <row r="4">
      <c r="A4" s="11" t="n">
        <v>1</v>
      </c>
      <c r="B4" s="24" t="n">
        <v>45</v>
      </c>
      <c r="C4" s="25" t="inlineStr">
        <is>
          <t>Paula Cárdenas Vargas</t>
        </is>
      </c>
      <c r="D4" s="11" t="inlineStr">
        <is>
          <t>T1 · ROJO</t>
        </is>
      </c>
      <c r="E4" s="25" t="inlineStr">
        <is>
          <t>Paro cardiorrespiratorio</t>
        </is>
      </c>
      <c r="F4" s="24" t="n">
        <v>66</v>
      </c>
      <c r="G4" s="24" t="inlineStr">
        <is>
          <t>Adulto mayor</t>
        </is>
      </c>
      <c r="H4" s="24" t="inlineStr">
        <is>
          <t>12:04:00</t>
        </is>
      </c>
      <c r="I4" s="24" t="n">
        <v>0</v>
      </c>
      <c r="J4" s="24" t="n">
        <v>60</v>
      </c>
      <c r="K4" s="26" t="n">
        <v>60</v>
      </c>
      <c r="L4" s="25" t="inlineStr">
        <is>
          <t>Laura Gómez</t>
        </is>
      </c>
    </row>
    <row r="5">
      <c r="A5" s="11" t="n">
        <v>2</v>
      </c>
      <c r="B5" s="21" t="n">
        <v>54</v>
      </c>
      <c r="C5" s="22" t="inlineStr">
        <is>
          <t>Sofía Cruz Gómez</t>
        </is>
      </c>
      <c r="D5" s="11" t="inlineStr">
        <is>
          <t>T1 · ROJO</t>
        </is>
      </c>
      <c r="E5" s="22" t="inlineStr">
        <is>
          <t>Paro cardiorrespiratorio</t>
        </is>
      </c>
      <c r="F5" s="21" t="n">
        <v>72</v>
      </c>
      <c r="G5" s="21" t="inlineStr">
        <is>
          <t>Adulto mayor</t>
        </is>
      </c>
      <c r="H5" s="21" t="inlineStr">
        <is>
          <t>12:06:00</t>
        </is>
      </c>
      <c r="I5" s="21" t="n">
        <v>60</v>
      </c>
      <c r="J5" s="21" t="n">
        <v>60</v>
      </c>
      <c r="K5" s="27" t="n">
        <v>120</v>
      </c>
      <c r="L5" s="22" t="inlineStr">
        <is>
          <t>Andrés Martínez</t>
        </is>
      </c>
    </row>
    <row r="6">
      <c r="A6" s="11" t="n">
        <v>3</v>
      </c>
      <c r="B6" s="24" t="n">
        <v>14</v>
      </c>
      <c r="C6" s="25" t="inlineStr">
        <is>
          <t>Juliana Rodríguez López</t>
        </is>
      </c>
      <c r="D6" s="11" t="inlineStr">
        <is>
          <t>T1 · ROJO</t>
        </is>
      </c>
      <c r="E6" s="25" t="inlineStr">
        <is>
          <t>Politraumatismo grave</t>
        </is>
      </c>
      <c r="F6" s="24" t="n">
        <v>68</v>
      </c>
      <c r="G6" s="24" t="inlineStr">
        <is>
          <t>Adulto mayor</t>
        </is>
      </c>
      <c r="H6" s="24" t="inlineStr">
        <is>
          <t>18:25:00</t>
        </is>
      </c>
      <c r="I6" s="24" t="n">
        <v>120</v>
      </c>
      <c r="J6" s="24" t="n">
        <v>90</v>
      </c>
      <c r="K6" s="27" t="n">
        <v>210</v>
      </c>
      <c r="L6" s="25" t="inlineStr">
        <is>
          <t>Carlos Ramírez</t>
        </is>
      </c>
    </row>
    <row r="7">
      <c r="A7" s="11" t="n">
        <v>4</v>
      </c>
      <c r="B7" s="21" t="n">
        <v>19</v>
      </c>
      <c r="C7" s="22" t="inlineStr">
        <is>
          <t>Valentina Muñoz Moreno</t>
        </is>
      </c>
      <c r="D7" s="11" t="inlineStr">
        <is>
          <t>T1 · ROJO</t>
        </is>
      </c>
      <c r="E7" s="22" t="inlineStr">
        <is>
          <t>Paro cardiorrespiratorio</t>
        </is>
      </c>
      <c r="F7" s="21" t="n">
        <v>52</v>
      </c>
      <c r="G7" s="21" t="inlineStr">
        <is>
          <t>Adulto</t>
        </is>
      </c>
      <c r="H7" s="21" t="inlineStr">
        <is>
          <t>18:18:00</t>
        </is>
      </c>
      <c r="I7" s="21" t="n">
        <v>210</v>
      </c>
      <c r="J7" s="21" t="n">
        <v>60</v>
      </c>
      <c r="K7" s="27" t="n">
        <v>270</v>
      </c>
      <c r="L7" s="22" t="inlineStr">
        <is>
          <t>Felipe Herrera</t>
        </is>
      </c>
    </row>
    <row r="8">
      <c r="A8" s="10" t="n">
        <v>5</v>
      </c>
      <c r="B8" s="24" t="n">
        <v>25</v>
      </c>
      <c r="C8" s="25" t="inlineStr">
        <is>
          <t>Valentina Alvarado Torres</t>
        </is>
      </c>
      <c r="D8" s="10" t="inlineStr">
        <is>
          <t>T2 · NARANJA</t>
        </is>
      </c>
      <c r="E8" s="25" t="inlineStr">
        <is>
          <t>ACV / Derrame cerebral</t>
        </is>
      </c>
      <c r="F8" s="24" t="n">
        <v>81</v>
      </c>
      <c r="G8" s="24" t="inlineStr">
        <is>
          <t>Anciano</t>
        </is>
      </c>
      <c r="H8" s="24" t="inlineStr">
        <is>
          <t>18:56:00</t>
        </is>
      </c>
      <c r="I8" s="24" t="n">
        <v>270</v>
      </c>
      <c r="J8" s="24" t="n">
        <v>50</v>
      </c>
      <c r="K8" s="27" t="n">
        <v>320</v>
      </c>
      <c r="L8" s="25" t="inlineStr">
        <is>
          <t>Andrés Martínez</t>
        </is>
      </c>
    </row>
    <row r="9">
      <c r="A9" s="10" t="n">
        <v>6</v>
      </c>
      <c r="B9" s="21" t="n">
        <v>51</v>
      </c>
      <c r="C9" s="22" t="inlineStr">
        <is>
          <t>Alejandro Medina Pardo</t>
        </is>
      </c>
      <c r="D9" s="10" t="inlineStr">
        <is>
          <t>T2 · NARANJA</t>
        </is>
      </c>
      <c r="E9" s="22" t="inlineStr">
        <is>
          <t>Dificultad respiratoria severa</t>
        </is>
      </c>
      <c r="F9" s="21" t="n">
        <v>4</v>
      </c>
      <c r="G9" s="21" t="inlineStr">
        <is>
          <t>Infante</t>
        </is>
      </c>
      <c r="H9" s="21" t="inlineStr">
        <is>
          <t>09:21:00</t>
        </is>
      </c>
      <c r="I9" s="21" t="n">
        <v>320</v>
      </c>
      <c r="J9" s="21" t="n">
        <v>45</v>
      </c>
      <c r="K9" s="27" t="n">
        <v>365</v>
      </c>
      <c r="L9" s="22" t="inlineStr">
        <is>
          <t>Sofía Torres</t>
        </is>
      </c>
    </row>
    <row r="10">
      <c r="A10" s="10" t="n">
        <v>7</v>
      </c>
      <c r="B10" s="24" t="n">
        <v>57</v>
      </c>
      <c r="C10" s="25" t="inlineStr">
        <is>
          <t>Juan Jiménez Cruz</t>
        </is>
      </c>
      <c r="D10" s="10" t="inlineStr">
        <is>
          <t>T2 · NARANJA</t>
        </is>
      </c>
      <c r="E10" s="25" t="inlineStr">
        <is>
          <t>Dificultad respiratoria severa</t>
        </is>
      </c>
      <c r="F10" s="24" t="n">
        <v>65</v>
      </c>
      <c r="G10" s="24" t="inlineStr">
        <is>
          <t>Adulto mayor</t>
        </is>
      </c>
      <c r="H10" s="24" t="inlineStr">
        <is>
          <t>15:52:00</t>
        </is>
      </c>
      <c r="I10" s="24" t="n">
        <v>365</v>
      </c>
      <c r="J10" s="24" t="n">
        <v>45</v>
      </c>
      <c r="K10" s="27" t="n">
        <v>410</v>
      </c>
      <c r="L10" s="25" t="inlineStr">
        <is>
          <t>Andrés Martínez</t>
        </is>
      </c>
    </row>
    <row r="11">
      <c r="A11" s="10" t="n">
        <v>8</v>
      </c>
      <c r="B11" s="21" t="n">
        <v>34</v>
      </c>
      <c r="C11" s="22" t="inlineStr">
        <is>
          <t>Camilo Moreno Pardo</t>
        </is>
      </c>
      <c r="D11" s="10" t="inlineStr">
        <is>
          <t>T2 · NARANJA</t>
        </is>
      </c>
      <c r="E11" s="22" t="inlineStr">
        <is>
          <t>ACV / Derrame cerebral</t>
        </is>
      </c>
      <c r="F11" s="21" t="n">
        <v>55</v>
      </c>
      <c r="G11" s="21" t="inlineStr">
        <is>
          <t>Adulto</t>
        </is>
      </c>
      <c r="H11" s="21" t="inlineStr">
        <is>
          <t>08:52:00</t>
        </is>
      </c>
      <c r="I11" s="21" t="n">
        <v>410</v>
      </c>
      <c r="J11" s="21" t="n">
        <v>50</v>
      </c>
      <c r="K11" s="27" t="n">
        <v>460</v>
      </c>
      <c r="L11" s="22" t="inlineStr">
        <is>
          <t>Andrés Martínez</t>
        </is>
      </c>
    </row>
    <row r="12">
      <c r="A12" s="10" t="n">
        <v>9</v>
      </c>
      <c r="B12" s="24" t="n">
        <v>10</v>
      </c>
      <c r="C12" s="25" t="inlineStr">
        <is>
          <t>David Castro García</t>
        </is>
      </c>
      <c r="D12" s="10" t="inlineStr">
        <is>
          <t>T2 · NARANJA</t>
        </is>
      </c>
      <c r="E12" s="25" t="inlineStr">
        <is>
          <t>Dificultad respiratoria severa</t>
        </is>
      </c>
      <c r="F12" s="24" t="n">
        <v>9</v>
      </c>
      <c r="G12" s="24" t="inlineStr">
        <is>
          <t>Menor de edad</t>
        </is>
      </c>
      <c r="H12" s="24" t="inlineStr">
        <is>
          <t>13:18:00</t>
        </is>
      </c>
      <c r="I12" s="24" t="n">
        <v>460</v>
      </c>
      <c r="J12" s="24" t="n">
        <v>45</v>
      </c>
      <c r="K12" s="27" t="n">
        <v>505</v>
      </c>
      <c r="L12" s="25" t="inlineStr">
        <is>
          <t>Felipe Herrera</t>
        </is>
      </c>
    </row>
    <row r="13">
      <c r="A13" s="10" t="n">
        <v>10</v>
      </c>
      <c r="B13" s="21" t="n">
        <v>43</v>
      </c>
      <c r="C13" s="22" t="inlineStr">
        <is>
          <t>Alejandra Díaz Cárdenas</t>
        </is>
      </c>
      <c r="D13" s="10" t="inlineStr">
        <is>
          <t>T2 · NARANJA</t>
        </is>
      </c>
      <c r="E13" s="22" t="inlineStr">
        <is>
          <t>Dificultad respiratoria severa</t>
        </is>
      </c>
      <c r="F13" s="21" t="n">
        <v>53</v>
      </c>
      <c r="G13" s="21" t="inlineStr">
        <is>
          <t>Adulto</t>
        </is>
      </c>
      <c r="H13" s="21" t="inlineStr">
        <is>
          <t>17:31:00</t>
        </is>
      </c>
      <c r="I13" s="21" t="n">
        <v>505</v>
      </c>
      <c r="J13" s="21" t="n">
        <v>45</v>
      </c>
      <c r="K13" s="27" t="n">
        <v>550</v>
      </c>
      <c r="L13" s="22" t="inlineStr">
        <is>
          <t>Carlos Ramírez</t>
        </is>
      </c>
    </row>
    <row r="14">
      <c r="A14" s="9" t="n">
        <v>11</v>
      </c>
      <c r="B14" s="24" t="n">
        <v>39</v>
      </c>
      <c r="C14" s="25" t="inlineStr">
        <is>
          <t>Natalia Moreno Martínez</t>
        </is>
      </c>
      <c r="D14" s="9" t="inlineStr">
        <is>
          <t>T3 · AMARILLO</t>
        </is>
      </c>
      <c r="E14" s="25" t="inlineStr">
        <is>
          <t>Fractura con compromiso vascular</t>
        </is>
      </c>
      <c r="F14" s="24" t="n">
        <v>1</v>
      </c>
      <c r="G14" s="24" t="inlineStr">
        <is>
          <t>Neonato</t>
        </is>
      </c>
      <c r="H14" s="24" t="inlineStr">
        <is>
          <t>08:03:00</t>
        </is>
      </c>
      <c r="I14" s="24" t="n">
        <v>550</v>
      </c>
      <c r="J14" s="24" t="n">
        <v>35</v>
      </c>
      <c r="K14" s="27" t="n">
        <v>585</v>
      </c>
      <c r="L14" s="25" t="inlineStr">
        <is>
          <t>Laura Gómez</t>
        </is>
      </c>
    </row>
    <row r="15">
      <c r="A15" s="9" t="n">
        <v>12</v>
      </c>
      <c r="B15" s="21" t="n">
        <v>56</v>
      </c>
      <c r="C15" s="22" t="inlineStr">
        <is>
          <t>Isabella Morales Cárdenas</t>
        </is>
      </c>
      <c r="D15" s="9" t="inlineStr">
        <is>
          <t>T3 · AMARILLO</t>
        </is>
      </c>
      <c r="E15" s="22" t="inlineStr">
        <is>
          <t>Dolor abdominal agudo</t>
        </is>
      </c>
      <c r="F15" s="21" t="n">
        <v>1</v>
      </c>
      <c r="G15" s="21" t="inlineStr">
        <is>
          <t>Neonato</t>
        </is>
      </c>
      <c r="H15" s="21" t="inlineStr">
        <is>
          <t>08:04:00</t>
        </is>
      </c>
      <c r="I15" s="21" t="n">
        <v>585</v>
      </c>
      <c r="J15" s="21" t="n">
        <v>30</v>
      </c>
      <c r="K15" s="27" t="n">
        <v>615</v>
      </c>
      <c r="L15" s="22" t="inlineStr">
        <is>
          <t>Felipe Herrera</t>
        </is>
      </c>
    </row>
    <row r="16">
      <c r="A16" s="9" t="n">
        <v>13</v>
      </c>
      <c r="B16" s="24" t="n">
        <v>49</v>
      </c>
      <c r="C16" s="25" t="inlineStr">
        <is>
          <t>Daniela Ríos Gómez</t>
        </is>
      </c>
      <c r="D16" s="9" t="inlineStr">
        <is>
          <t>T3 · AMARILLO</t>
        </is>
      </c>
      <c r="E16" s="25" t="inlineStr">
        <is>
          <t>Fractura con compromiso vascular</t>
        </is>
      </c>
      <c r="F16" s="24" t="n">
        <v>86</v>
      </c>
      <c r="G16" s="24" t="inlineStr">
        <is>
          <t>Anciano</t>
        </is>
      </c>
      <c r="H16" s="24" t="inlineStr">
        <is>
          <t>12:16:00</t>
        </is>
      </c>
      <c r="I16" s="24" t="n">
        <v>615</v>
      </c>
      <c r="J16" s="24" t="n">
        <v>35</v>
      </c>
      <c r="K16" s="27" t="n">
        <v>650</v>
      </c>
      <c r="L16" s="25" t="inlineStr">
        <is>
          <t>Carlos Ramírez</t>
        </is>
      </c>
    </row>
    <row r="17">
      <c r="A17" s="9" t="n">
        <v>14</v>
      </c>
      <c r="B17" s="21" t="n">
        <v>36</v>
      </c>
      <c r="C17" s="22" t="inlineStr">
        <is>
          <t>Laura Jiménez Ospina</t>
        </is>
      </c>
      <c r="D17" s="9" t="inlineStr">
        <is>
          <t>T3 · AMARILLO</t>
        </is>
      </c>
      <c r="E17" s="22" t="inlineStr">
        <is>
          <t>Fractura con compromiso vascular</t>
        </is>
      </c>
      <c r="F17" s="21" t="n">
        <v>79</v>
      </c>
      <c r="G17" s="21" t="inlineStr">
        <is>
          <t>Anciano</t>
        </is>
      </c>
      <c r="H17" s="21" t="inlineStr">
        <is>
          <t>19:47:00</t>
        </is>
      </c>
      <c r="I17" s="21" t="n">
        <v>650</v>
      </c>
      <c r="J17" s="21" t="n">
        <v>35</v>
      </c>
      <c r="K17" s="27" t="n">
        <v>685</v>
      </c>
      <c r="L17" s="22" t="inlineStr">
        <is>
          <t>Laura Gómez</t>
        </is>
      </c>
    </row>
    <row r="18">
      <c r="A18" s="9" t="n">
        <v>15</v>
      </c>
      <c r="B18" s="24" t="n">
        <v>37</v>
      </c>
      <c r="C18" s="25" t="inlineStr">
        <is>
          <t>Isabella Muñoz Morales</t>
        </is>
      </c>
      <c r="D18" s="9" t="inlineStr">
        <is>
          <t>T3 · AMARILLO</t>
        </is>
      </c>
      <c r="E18" s="25" t="inlineStr">
        <is>
          <t>Dolor abdominal agudo</t>
        </is>
      </c>
      <c r="F18" s="24" t="n">
        <v>78</v>
      </c>
      <c r="G18" s="24" t="inlineStr">
        <is>
          <t>Anciano</t>
        </is>
      </c>
      <c r="H18" s="24" t="inlineStr">
        <is>
          <t>20:39:00</t>
        </is>
      </c>
      <c r="I18" s="24" t="n">
        <v>685</v>
      </c>
      <c r="J18" s="24" t="n">
        <v>30</v>
      </c>
      <c r="K18" s="27" t="n">
        <v>715</v>
      </c>
      <c r="L18" s="25" t="inlineStr">
        <is>
          <t>Felipe Herrera</t>
        </is>
      </c>
    </row>
    <row r="19">
      <c r="A19" s="9" t="n">
        <v>16</v>
      </c>
      <c r="B19" s="21" t="n">
        <v>8</v>
      </c>
      <c r="C19" s="22" t="inlineStr">
        <is>
          <t>Ricardo Muñoz Rodríguez</t>
        </is>
      </c>
      <c r="D19" s="9" t="inlineStr">
        <is>
          <t>T3 · AMARILLO</t>
        </is>
      </c>
      <c r="E19" s="22" t="inlineStr">
        <is>
          <t>Fractura con compromiso vascular</t>
        </is>
      </c>
      <c r="F19" s="21" t="n">
        <v>3</v>
      </c>
      <c r="G19" s="21" t="inlineStr">
        <is>
          <t>Infante</t>
        </is>
      </c>
      <c r="H19" s="21" t="inlineStr">
        <is>
          <t>13:59:00</t>
        </is>
      </c>
      <c r="I19" s="21" t="n">
        <v>715</v>
      </c>
      <c r="J19" s="21" t="n">
        <v>35</v>
      </c>
      <c r="K19" s="27" t="n">
        <v>750</v>
      </c>
      <c r="L19" s="22" t="inlineStr">
        <is>
          <t>Carlos Ramírez</t>
        </is>
      </c>
    </row>
    <row r="20">
      <c r="A20" s="9" t="n">
        <v>17</v>
      </c>
      <c r="B20" s="24" t="n">
        <v>35</v>
      </c>
      <c r="C20" s="25" t="inlineStr">
        <is>
          <t>Miguel Alvarado Herrera</t>
        </is>
      </c>
      <c r="D20" s="9" t="inlineStr">
        <is>
          <t>T3 · AMARILLO</t>
        </is>
      </c>
      <c r="E20" s="25" t="inlineStr">
        <is>
          <t>Fractura con compromiso vascular</t>
        </is>
      </c>
      <c r="F20" s="24" t="n">
        <v>3</v>
      </c>
      <c r="G20" s="24" t="inlineStr">
        <is>
          <t>Infante</t>
        </is>
      </c>
      <c r="H20" s="24" t="inlineStr">
        <is>
          <t>14:18:00</t>
        </is>
      </c>
      <c r="I20" s="24" t="n">
        <v>750</v>
      </c>
      <c r="J20" s="24" t="n">
        <v>35</v>
      </c>
      <c r="K20" s="27" t="n">
        <v>785</v>
      </c>
      <c r="L20" s="25" t="inlineStr">
        <is>
          <t>Sofía Torres</t>
        </is>
      </c>
    </row>
    <row r="21">
      <c r="A21" s="9" t="n">
        <v>18</v>
      </c>
      <c r="B21" s="21" t="n">
        <v>53</v>
      </c>
      <c r="C21" s="22" t="inlineStr">
        <is>
          <t>Carlos Ríos Ospina</t>
        </is>
      </c>
      <c r="D21" s="9" t="inlineStr">
        <is>
          <t>T3 · AMARILLO</t>
        </is>
      </c>
      <c r="E21" s="22" t="inlineStr">
        <is>
          <t>Dolor abdominal agudo</t>
        </is>
      </c>
      <c r="F21" s="21" t="n">
        <v>72</v>
      </c>
      <c r="G21" s="21" t="inlineStr">
        <is>
          <t>Adulto mayor</t>
        </is>
      </c>
      <c r="H21" s="21" t="inlineStr">
        <is>
          <t>13:13:00</t>
        </is>
      </c>
      <c r="I21" s="21" t="n">
        <v>785</v>
      </c>
      <c r="J21" s="21" t="n">
        <v>30</v>
      </c>
      <c r="K21" s="27" t="n">
        <v>815</v>
      </c>
      <c r="L21" s="22" t="inlineStr">
        <is>
          <t>Andrés Martínez</t>
        </is>
      </c>
    </row>
    <row r="22">
      <c r="A22" s="9" t="n">
        <v>19</v>
      </c>
      <c r="B22" s="24" t="n">
        <v>50</v>
      </c>
      <c r="C22" s="25" t="inlineStr">
        <is>
          <t>Juan Cárdenas Rodríguez</t>
        </is>
      </c>
      <c r="D22" s="9" t="inlineStr">
        <is>
          <t>T3 · AMARILLO</t>
        </is>
      </c>
      <c r="E22" s="25" t="inlineStr">
        <is>
          <t>Dolor abdominal agudo</t>
        </is>
      </c>
      <c r="F22" s="24" t="n">
        <v>64</v>
      </c>
      <c r="G22" s="24" t="inlineStr">
        <is>
          <t>Adulto mayor</t>
        </is>
      </c>
      <c r="H22" s="24" t="inlineStr">
        <is>
          <t>14:13:00</t>
        </is>
      </c>
      <c r="I22" s="24" t="n">
        <v>815</v>
      </c>
      <c r="J22" s="24" t="n">
        <v>30</v>
      </c>
      <c r="K22" s="27" t="n">
        <v>845</v>
      </c>
      <c r="L22" s="25" t="inlineStr">
        <is>
          <t>Felipe Herrera</t>
        </is>
      </c>
    </row>
    <row r="23">
      <c r="A23" s="9" t="n">
        <v>20</v>
      </c>
      <c r="B23" s="21" t="n">
        <v>60</v>
      </c>
      <c r="C23" s="22" t="inlineStr">
        <is>
          <t>Sebastián Bernal Ospina</t>
        </is>
      </c>
      <c r="D23" s="9" t="inlineStr">
        <is>
          <t>T3 · AMARILLO</t>
        </is>
      </c>
      <c r="E23" s="22" t="inlineStr">
        <is>
          <t>Dolor abdominal agudo</t>
        </is>
      </c>
      <c r="F23" s="21" t="n">
        <v>63</v>
      </c>
      <c r="G23" s="21" t="inlineStr">
        <is>
          <t>Adulto mayor</t>
        </is>
      </c>
      <c r="H23" s="21" t="inlineStr">
        <is>
          <t>15:38:00</t>
        </is>
      </c>
      <c r="I23" s="21" t="n">
        <v>845</v>
      </c>
      <c r="J23" s="21" t="n">
        <v>30</v>
      </c>
      <c r="K23" s="27" t="n">
        <v>875</v>
      </c>
      <c r="L23" s="22" t="inlineStr">
        <is>
          <t>Andrés Martínez</t>
        </is>
      </c>
    </row>
    <row r="24">
      <c r="A24" s="9" t="n">
        <v>21</v>
      </c>
      <c r="B24" s="24" t="n">
        <v>47</v>
      </c>
      <c r="C24" s="25" t="inlineStr">
        <is>
          <t>Jorge Bernal García</t>
        </is>
      </c>
      <c r="D24" s="9" t="inlineStr">
        <is>
          <t>T3 · AMARILLO</t>
        </is>
      </c>
      <c r="E24" s="25" t="inlineStr">
        <is>
          <t>Fractura con compromiso vascular</t>
        </is>
      </c>
      <c r="F24" s="24" t="n">
        <v>71</v>
      </c>
      <c r="G24" s="24" t="inlineStr">
        <is>
          <t>Adulto mayor</t>
        </is>
      </c>
      <c r="H24" s="24" t="inlineStr">
        <is>
          <t>20:14:00</t>
        </is>
      </c>
      <c r="I24" s="24" t="n">
        <v>875</v>
      </c>
      <c r="J24" s="24" t="n">
        <v>35</v>
      </c>
      <c r="K24" s="27" t="n">
        <v>910</v>
      </c>
      <c r="L24" s="25" t="inlineStr">
        <is>
          <t>Laura Gómez</t>
        </is>
      </c>
    </row>
    <row r="25">
      <c r="A25" s="9" t="n">
        <v>22</v>
      </c>
      <c r="B25" s="21" t="n">
        <v>29</v>
      </c>
      <c r="C25" s="22" t="inlineStr">
        <is>
          <t>Jorge Rodríguez Muñoz</t>
        </is>
      </c>
      <c r="D25" s="9" t="inlineStr">
        <is>
          <t>T3 · AMARILLO</t>
        </is>
      </c>
      <c r="E25" s="22" t="inlineStr">
        <is>
          <t>Dolor abdominal agudo</t>
        </is>
      </c>
      <c r="F25" s="21" t="n">
        <v>68</v>
      </c>
      <c r="G25" s="21" t="inlineStr">
        <is>
          <t>Adulto mayor</t>
        </is>
      </c>
      <c r="H25" s="21" t="inlineStr">
        <is>
          <t>20:37:00</t>
        </is>
      </c>
      <c r="I25" s="21" t="n">
        <v>910</v>
      </c>
      <c r="J25" s="21" t="n">
        <v>30</v>
      </c>
      <c r="K25" s="27" t="n">
        <v>940</v>
      </c>
      <c r="L25" s="22" t="inlineStr">
        <is>
          <t>Carlos Ramírez</t>
        </is>
      </c>
    </row>
    <row r="26">
      <c r="A26" s="9" t="n">
        <v>23</v>
      </c>
      <c r="B26" s="24" t="n">
        <v>22</v>
      </c>
      <c r="C26" s="25" t="inlineStr">
        <is>
          <t>Claudia Pardo Gómez</t>
        </is>
      </c>
      <c r="D26" s="9" t="inlineStr">
        <is>
          <t>T3 · AMARILLO</t>
        </is>
      </c>
      <c r="E26" s="25" t="inlineStr">
        <is>
          <t>Dolor abdominal agudo</t>
        </is>
      </c>
      <c r="F26" s="24" t="n">
        <v>38</v>
      </c>
      <c r="G26" s="24" t="inlineStr">
        <is>
          <t>Adulto</t>
        </is>
      </c>
      <c r="H26" s="24" t="inlineStr">
        <is>
          <t>08:07:00</t>
        </is>
      </c>
      <c r="I26" s="24" t="n">
        <v>940</v>
      </c>
      <c r="J26" s="24" t="n">
        <v>30</v>
      </c>
      <c r="K26" s="27" t="n">
        <v>970</v>
      </c>
      <c r="L26" s="25" t="inlineStr">
        <is>
          <t>Sofía Torres</t>
        </is>
      </c>
    </row>
    <row r="27">
      <c r="A27" s="9" t="n">
        <v>24</v>
      </c>
      <c r="B27" s="21" t="n">
        <v>23</v>
      </c>
      <c r="C27" s="22" t="inlineStr">
        <is>
          <t>Camilo Jiménez Reyes</t>
        </is>
      </c>
      <c r="D27" s="9" t="inlineStr">
        <is>
          <t>T3 · AMARILLO</t>
        </is>
      </c>
      <c r="E27" s="22" t="inlineStr">
        <is>
          <t>Fractura con compromiso vascular</t>
        </is>
      </c>
      <c r="F27" s="21" t="n">
        <v>17</v>
      </c>
      <c r="G27" s="21" t="inlineStr">
        <is>
          <t>Menor de edad</t>
        </is>
      </c>
      <c r="H27" s="21" t="inlineStr">
        <is>
          <t>08:18:00</t>
        </is>
      </c>
      <c r="I27" s="21" t="n">
        <v>970</v>
      </c>
      <c r="J27" s="21" t="n">
        <v>35</v>
      </c>
      <c r="K27" s="27" t="n">
        <v>1005</v>
      </c>
      <c r="L27" s="22" t="inlineStr">
        <is>
          <t>Andrés Martínez</t>
        </is>
      </c>
    </row>
    <row r="28">
      <c r="A28" s="9" t="n">
        <v>25</v>
      </c>
      <c r="B28" s="24" t="n">
        <v>16</v>
      </c>
      <c r="C28" s="25" t="inlineStr">
        <is>
          <t>Mariana Medina Morales</t>
        </is>
      </c>
      <c r="D28" s="9" t="inlineStr">
        <is>
          <t>T3 · AMARILLO</t>
        </is>
      </c>
      <c r="E28" s="25" t="inlineStr">
        <is>
          <t>Dolor abdominal agudo</t>
        </is>
      </c>
      <c r="F28" s="24" t="n">
        <v>19</v>
      </c>
      <c r="G28" s="24" t="inlineStr">
        <is>
          <t>Adulto</t>
        </is>
      </c>
      <c r="H28" s="24" t="inlineStr">
        <is>
          <t>08:39:00</t>
        </is>
      </c>
      <c r="I28" s="24" t="n">
        <v>1005</v>
      </c>
      <c r="J28" s="24" t="n">
        <v>30</v>
      </c>
      <c r="K28" s="27" t="n">
        <v>1035</v>
      </c>
      <c r="L28" s="25" t="inlineStr">
        <is>
          <t>Sofía Torres</t>
        </is>
      </c>
    </row>
    <row r="29">
      <c r="A29" s="9" t="n">
        <v>26</v>
      </c>
      <c r="B29" s="21" t="n">
        <v>44</v>
      </c>
      <c r="C29" s="22" t="inlineStr">
        <is>
          <t>Laura García Castro</t>
        </is>
      </c>
      <c r="D29" s="9" t="inlineStr">
        <is>
          <t>T3 · AMARILLO</t>
        </is>
      </c>
      <c r="E29" s="22" t="inlineStr">
        <is>
          <t>Dolor abdominal agudo</t>
        </is>
      </c>
      <c r="F29" s="21" t="n">
        <v>56</v>
      </c>
      <c r="G29" s="21" t="inlineStr">
        <is>
          <t>Adulto</t>
        </is>
      </c>
      <c r="H29" s="21" t="inlineStr">
        <is>
          <t>13:06:00</t>
        </is>
      </c>
      <c r="I29" s="21" t="n">
        <v>1035</v>
      </c>
      <c r="J29" s="21" t="n">
        <v>30</v>
      </c>
      <c r="K29" s="27" t="n">
        <v>1065</v>
      </c>
      <c r="L29" s="22" t="inlineStr">
        <is>
          <t>Carlos Ramírez</t>
        </is>
      </c>
    </row>
    <row r="30">
      <c r="A30" s="9" t="n">
        <v>27</v>
      </c>
      <c r="B30" s="24" t="n">
        <v>46</v>
      </c>
      <c r="C30" s="25" t="inlineStr">
        <is>
          <t>Juliana Bernal Díaz</t>
        </is>
      </c>
      <c r="D30" s="9" t="inlineStr">
        <is>
          <t>T3 · AMARILLO</t>
        </is>
      </c>
      <c r="E30" s="25" t="inlineStr">
        <is>
          <t>Fractura con compromiso vascular</t>
        </is>
      </c>
      <c r="F30" s="24" t="n">
        <v>40</v>
      </c>
      <c r="G30" s="24" t="inlineStr">
        <is>
          <t>Adulto</t>
        </is>
      </c>
      <c r="H30" s="24" t="inlineStr">
        <is>
          <t>13:18:00</t>
        </is>
      </c>
      <c r="I30" s="24" t="n">
        <v>1065</v>
      </c>
      <c r="J30" s="24" t="n">
        <v>35</v>
      </c>
      <c r="K30" s="27" t="n">
        <v>1100</v>
      </c>
      <c r="L30" s="25" t="inlineStr">
        <is>
          <t>Laura Gómez</t>
        </is>
      </c>
    </row>
    <row r="31">
      <c r="A31" s="9" t="n">
        <v>28</v>
      </c>
      <c r="B31" s="21" t="n">
        <v>7</v>
      </c>
      <c r="C31" s="22" t="inlineStr">
        <is>
          <t>Jorge Bernal Díaz</t>
        </is>
      </c>
      <c r="D31" s="9" t="inlineStr">
        <is>
          <t>T3 · AMARILLO</t>
        </is>
      </c>
      <c r="E31" s="22" t="inlineStr">
        <is>
          <t>Fractura con compromiso vascular</t>
        </is>
      </c>
      <c r="F31" s="21" t="n">
        <v>30</v>
      </c>
      <c r="G31" s="21" t="inlineStr">
        <is>
          <t>Adulto</t>
        </is>
      </c>
      <c r="H31" s="21" t="inlineStr">
        <is>
          <t>14:29:00</t>
        </is>
      </c>
      <c r="I31" s="21" t="n">
        <v>1100</v>
      </c>
      <c r="J31" s="21" t="n">
        <v>35</v>
      </c>
      <c r="K31" s="27" t="n">
        <v>1135</v>
      </c>
      <c r="L31" s="22" t="inlineStr">
        <is>
          <t>Felipe Herrera</t>
        </is>
      </c>
    </row>
    <row r="32">
      <c r="A32" s="9" t="n">
        <v>29</v>
      </c>
      <c r="B32" s="24" t="n">
        <v>11</v>
      </c>
      <c r="C32" s="25" t="inlineStr">
        <is>
          <t>Felipe Muñoz García</t>
        </is>
      </c>
      <c r="D32" s="9" t="inlineStr">
        <is>
          <t>T3 · AMARILLO</t>
        </is>
      </c>
      <c r="E32" s="25" t="inlineStr">
        <is>
          <t>Fractura con compromiso vascular</t>
        </is>
      </c>
      <c r="F32" s="24" t="n">
        <v>19</v>
      </c>
      <c r="G32" s="24" t="inlineStr">
        <is>
          <t>Adulto</t>
        </is>
      </c>
      <c r="H32" s="24" t="inlineStr">
        <is>
          <t>14:35:00</t>
        </is>
      </c>
      <c r="I32" s="24" t="n">
        <v>1135</v>
      </c>
      <c r="J32" s="24" t="n">
        <v>35</v>
      </c>
      <c r="K32" s="27" t="n">
        <v>1170</v>
      </c>
      <c r="L32" s="25" t="inlineStr">
        <is>
          <t>Felipe Herrera</t>
        </is>
      </c>
    </row>
    <row r="33">
      <c r="A33" s="9" t="n">
        <v>30</v>
      </c>
      <c r="B33" s="21" t="n">
        <v>55</v>
      </c>
      <c r="C33" s="22" t="inlineStr">
        <is>
          <t>Fernanda Pardo Ríos</t>
        </is>
      </c>
      <c r="D33" s="9" t="inlineStr">
        <is>
          <t>T3 · AMARILLO</t>
        </is>
      </c>
      <c r="E33" s="22" t="inlineStr">
        <is>
          <t>Dolor abdominal agudo</t>
        </is>
      </c>
      <c r="F33" s="21" t="n">
        <v>50</v>
      </c>
      <c r="G33" s="21" t="inlineStr">
        <is>
          <t>Adulto</t>
        </is>
      </c>
      <c r="H33" s="21" t="inlineStr">
        <is>
          <t>15:23:00</t>
        </is>
      </c>
      <c r="I33" s="21" t="n">
        <v>1170</v>
      </c>
      <c r="J33" s="21" t="n">
        <v>30</v>
      </c>
      <c r="K33" s="27" t="n">
        <v>1200</v>
      </c>
      <c r="L33" s="22" t="inlineStr">
        <is>
          <t>Andrés Martínez</t>
        </is>
      </c>
    </row>
    <row r="34">
      <c r="A34" s="9" t="n">
        <v>31</v>
      </c>
      <c r="B34" s="24" t="n">
        <v>13</v>
      </c>
      <c r="C34" s="25" t="inlineStr">
        <is>
          <t>Camilo Castro Martínez</t>
        </is>
      </c>
      <c r="D34" s="9" t="inlineStr">
        <is>
          <t>T3 · AMARILLO</t>
        </is>
      </c>
      <c r="E34" s="25" t="inlineStr">
        <is>
          <t>Dolor abdominal agudo</t>
        </is>
      </c>
      <c r="F34" s="24" t="n">
        <v>27</v>
      </c>
      <c r="G34" s="24" t="inlineStr">
        <is>
          <t>Adulto</t>
        </is>
      </c>
      <c r="H34" s="24" t="inlineStr">
        <is>
          <t>15:54:00</t>
        </is>
      </c>
      <c r="I34" s="24" t="n">
        <v>1200</v>
      </c>
      <c r="J34" s="24" t="n">
        <v>30</v>
      </c>
      <c r="K34" s="27" t="n">
        <v>1230</v>
      </c>
      <c r="L34" s="25" t="inlineStr">
        <is>
          <t>Sofía Torres</t>
        </is>
      </c>
    </row>
    <row r="35">
      <c r="A35" s="9" t="n">
        <v>32</v>
      </c>
      <c r="B35" s="21" t="n">
        <v>20</v>
      </c>
      <c r="C35" s="22" t="inlineStr">
        <is>
          <t>Nicolás Vargas Jiménez</t>
        </is>
      </c>
      <c r="D35" s="9" t="inlineStr">
        <is>
          <t>T3 · AMARILLO</t>
        </is>
      </c>
      <c r="E35" s="22" t="inlineStr">
        <is>
          <t>Fractura con compromiso vascular</t>
        </is>
      </c>
      <c r="F35" s="21" t="n">
        <v>18</v>
      </c>
      <c r="G35" s="21" t="inlineStr">
        <is>
          <t>Adulto</t>
        </is>
      </c>
      <c r="H35" s="21" t="inlineStr">
        <is>
          <t>16:17:00</t>
        </is>
      </c>
      <c r="I35" s="21" t="n">
        <v>1230</v>
      </c>
      <c r="J35" s="21" t="n">
        <v>35</v>
      </c>
      <c r="K35" s="27" t="n">
        <v>1265</v>
      </c>
      <c r="L35" s="22" t="inlineStr">
        <is>
          <t>Felipe Herrera</t>
        </is>
      </c>
    </row>
    <row r="36">
      <c r="A36" s="7" t="n">
        <v>33</v>
      </c>
      <c r="B36" s="24" t="n">
        <v>33</v>
      </c>
      <c r="C36" s="25" t="inlineStr">
        <is>
          <t>Ricardo López Muñoz</t>
        </is>
      </c>
      <c r="D36" s="7" t="inlineStr">
        <is>
          <t>T4 · VERDE</t>
        </is>
      </c>
      <c r="E36" s="25" t="inlineStr">
        <is>
          <t>Herida con sangrado moderado</t>
        </is>
      </c>
      <c r="F36" s="24" t="n">
        <v>90</v>
      </c>
      <c r="G36" s="24" t="inlineStr">
        <is>
          <t>Anciano</t>
        </is>
      </c>
      <c r="H36" s="24" t="inlineStr">
        <is>
          <t>13:53:00</t>
        </is>
      </c>
      <c r="I36" s="24" t="n">
        <v>1265</v>
      </c>
      <c r="J36" s="24" t="n">
        <v>20</v>
      </c>
      <c r="K36" s="27" t="n">
        <v>1285</v>
      </c>
      <c r="L36" s="25" t="inlineStr">
        <is>
          <t>Felipe Herrera</t>
        </is>
      </c>
    </row>
    <row r="37">
      <c r="A37" s="7" t="n">
        <v>34</v>
      </c>
      <c r="B37" s="21" t="n">
        <v>28</v>
      </c>
      <c r="C37" s="22" t="inlineStr">
        <is>
          <t>Daniel Rodríguez Martínez</t>
        </is>
      </c>
      <c r="D37" s="7" t="inlineStr">
        <is>
          <t>T4 · VERDE</t>
        </is>
      </c>
      <c r="E37" s="22" t="inlineStr">
        <is>
          <t>Herida con sangrado moderado</t>
        </is>
      </c>
      <c r="F37" s="21" t="n">
        <v>85</v>
      </c>
      <c r="G37" s="21" t="inlineStr">
        <is>
          <t>Anciano</t>
        </is>
      </c>
      <c r="H37" s="21" t="inlineStr">
        <is>
          <t>14:49:00</t>
        </is>
      </c>
      <c r="I37" s="21" t="n">
        <v>1285</v>
      </c>
      <c r="J37" s="21" t="n">
        <v>20</v>
      </c>
      <c r="K37" s="27" t="n">
        <v>1305</v>
      </c>
      <c r="L37" s="22" t="inlineStr">
        <is>
          <t>Andrés Martínez</t>
        </is>
      </c>
    </row>
    <row r="38">
      <c r="A38" s="7" t="n">
        <v>35</v>
      </c>
      <c r="B38" s="24" t="n">
        <v>32</v>
      </c>
      <c r="C38" s="25" t="inlineStr">
        <is>
          <t>Felipe Moreno Alvarado</t>
        </is>
      </c>
      <c r="D38" s="7" t="inlineStr">
        <is>
          <t>T4 · VERDE</t>
        </is>
      </c>
      <c r="E38" s="25" t="inlineStr">
        <is>
          <t>Fiebre alta con convulsión</t>
        </is>
      </c>
      <c r="F38" s="24" t="n">
        <v>82</v>
      </c>
      <c r="G38" s="24" t="inlineStr">
        <is>
          <t>Anciano</t>
        </is>
      </c>
      <c r="H38" s="24" t="inlineStr">
        <is>
          <t>18:27:00</t>
        </is>
      </c>
      <c r="I38" s="24" t="n">
        <v>1305</v>
      </c>
      <c r="J38" s="24" t="n">
        <v>25</v>
      </c>
      <c r="K38" s="27" t="n">
        <v>1330</v>
      </c>
      <c r="L38" s="25" t="inlineStr">
        <is>
          <t>Felipe Herrera</t>
        </is>
      </c>
    </row>
    <row r="39">
      <c r="A39" s="7" t="n">
        <v>36</v>
      </c>
      <c r="B39" s="21" t="n">
        <v>48</v>
      </c>
      <c r="C39" s="22" t="inlineStr">
        <is>
          <t>Santiago Díaz Herrera</t>
        </is>
      </c>
      <c r="D39" s="7" t="inlineStr">
        <is>
          <t>T4 · VERDE</t>
        </is>
      </c>
      <c r="E39" s="22" t="inlineStr">
        <is>
          <t>Fiebre alta con convulsión</t>
        </is>
      </c>
      <c r="F39" s="21" t="n">
        <v>2</v>
      </c>
      <c r="G39" s="21" t="inlineStr">
        <is>
          <t>Infante</t>
        </is>
      </c>
      <c r="H39" s="21" t="inlineStr">
        <is>
          <t>08:14:00</t>
        </is>
      </c>
      <c r="I39" s="21" t="n">
        <v>1330</v>
      </c>
      <c r="J39" s="21" t="n">
        <v>25</v>
      </c>
      <c r="K39" s="27" t="n">
        <v>1355</v>
      </c>
      <c r="L39" s="22" t="inlineStr">
        <is>
          <t>Sofía Torres</t>
        </is>
      </c>
    </row>
    <row r="40">
      <c r="A40" s="7" t="n">
        <v>37</v>
      </c>
      <c r="B40" s="24" t="n">
        <v>17</v>
      </c>
      <c r="C40" s="25" t="inlineStr">
        <is>
          <t>Natalia Gómez Reyes</t>
        </is>
      </c>
      <c r="D40" s="7" t="inlineStr">
        <is>
          <t>T4 · VERDE</t>
        </is>
      </c>
      <c r="E40" s="25" t="inlineStr">
        <is>
          <t>Fiebre alta con convulsión</t>
        </is>
      </c>
      <c r="F40" s="24" t="n">
        <v>3</v>
      </c>
      <c r="G40" s="24" t="inlineStr">
        <is>
          <t>Infante</t>
        </is>
      </c>
      <c r="H40" s="24" t="inlineStr">
        <is>
          <t>10:06:00</t>
        </is>
      </c>
      <c r="I40" s="24" t="n">
        <v>1355</v>
      </c>
      <c r="J40" s="24" t="n">
        <v>25</v>
      </c>
      <c r="K40" s="27" t="n">
        <v>1380</v>
      </c>
      <c r="L40" s="25" t="inlineStr">
        <is>
          <t>Felipe Herrera</t>
        </is>
      </c>
    </row>
    <row r="41">
      <c r="A41" s="7" t="n">
        <v>38</v>
      </c>
      <c r="B41" s="21" t="n">
        <v>5</v>
      </c>
      <c r="C41" s="22" t="inlineStr">
        <is>
          <t>Natalia Muñoz Pardo</t>
        </is>
      </c>
      <c r="D41" s="7" t="inlineStr">
        <is>
          <t>T4 · VERDE</t>
        </is>
      </c>
      <c r="E41" s="22" t="inlineStr">
        <is>
          <t>Fiebre alta con convulsión</t>
        </is>
      </c>
      <c r="F41" s="21" t="n">
        <v>4</v>
      </c>
      <c r="G41" s="21" t="inlineStr">
        <is>
          <t>Infante</t>
        </is>
      </c>
      <c r="H41" s="21" t="inlineStr">
        <is>
          <t>14:16:00</t>
        </is>
      </c>
      <c r="I41" s="21" t="n">
        <v>1380</v>
      </c>
      <c r="J41" s="21" t="n">
        <v>25</v>
      </c>
      <c r="K41" s="27" t="n">
        <v>1405</v>
      </c>
      <c r="L41" s="22" t="inlineStr">
        <is>
          <t>Sofía Torres</t>
        </is>
      </c>
    </row>
    <row r="42">
      <c r="A42" s="7" t="n">
        <v>39</v>
      </c>
      <c r="B42" s="24" t="n">
        <v>31</v>
      </c>
      <c r="C42" s="25" t="inlineStr">
        <is>
          <t>Ricardo Medina Herrera</t>
        </is>
      </c>
      <c r="D42" s="7" t="inlineStr">
        <is>
          <t>T4 · VERDE</t>
        </is>
      </c>
      <c r="E42" s="25" t="inlineStr">
        <is>
          <t>Fiebre alta con convulsión</t>
        </is>
      </c>
      <c r="F42" s="24" t="n">
        <v>2</v>
      </c>
      <c r="G42" s="24" t="inlineStr">
        <is>
          <t>Infante</t>
        </is>
      </c>
      <c r="H42" s="24" t="inlineStr">
        <is>
          <t>20:36:00</t>
        </is>
      </c>
      <c r="I42" s="24" t="n">
        <v>1405</v>
      </c>
      <c r="J42" s="24" t="n">
        <v>25</v>
      </c>
      <c r="K42" s="27" t="n">
        <v>1430</v>
      </c>
      <c r="L42" s="25" t="inlineStr">
        <is>
          <t>Sofía Torres</t>
        </is>
      </c>
    </row>
    <row r="43">
      <c r="A43" s="7" t="n">
        <v>40</v>
      </c>
      <c r="B43" s="21" t="n">
        <v>18</v>
      </c>
      <c r="C43" s="22" t="inlineStr">
        <is>
          <t>Miguel Torres Reyes</t>
        </is>
      </c>
      <c r="D43" s="7" t="inlineStr">
        <is>
          <t>T4 · VERDE</t>
        </is>
      </c>
      <c r="E43" s="22" t="inlineStr">
        <is>
          <t>Herida con sangrado moderado</t>
        </is>
      </c>
      <c r="F43" s="21" t="n">
        <v>63</v>
      </c>
      <c r="G43" s="21" t="inlineStr">
        <is>
          <t>Adulto mayor</t>
        </is>
      </c>
      <c r="H43" s="21" t="inlineStr">
        <is>
          <t>07:20:00</t>
        </is>
      </c>
      <c r="I43" s="21" t="n">
        <v>1430</v>
      </c>
      <c r="J43" s="21" t="n">
        <v>20</v>
      </c>
      <c r="K43" s="27" t="n">
        <v>1450</v>
      </c>
      <c r="L43" s="22" t="inlineStr">
        <is>
          <t>Andrés Martínez</t>
        </is>
      </c>
    </row>
    <row r="44">
      <c r="A44" s="7" t="n">
        <v>41</v>
      </c>
      <c r="B44" s="24" t="n">
        <v>41</v>
      </c>
      <c r="C44" s="25" t="inlineStr">
        <is>
          <t>María Medina Martínez</t>
        </is>
      </c>
      <c r="D44" s="7" t="inlineStr">
        <is>
          <t>T4 · VERDE</t>
        </is>
      </c>
      <c r="E44" s="25" t="inlineStr">
        <is>
          <t>Herida con sangrado moderado</t>
        </is>
      </c>
      <c r="F44" s="24" t="n">
        <v>69</v>
      </c>
      <c r="G44" s="24" t="inlineStr">
        <is>
          <t>Adulto mayor</t>
        </is>
      </c>
      <c r="H44" s="24" t="inlineStr">
        <is>
          <t>12:26:00</t>
        </is>
      </c>
      <c r="I44" s="24" t="n">
        <v>1450</v>
      </c>
      <c r="J44" s="24" t="n">
        <v>20</v>
      </c>
      <c r="K44" s="27" t="n">
        <v>1470</v>
      </c>
      <c r="L44" s="25" t="inlineStr">
        <is>
          <t>Felipe Herrera</t>
        </is>
      </c>
    </row>
    <row r="45">
      <c r="A45" s="7" t="n">
        <v>42</v>
      </c>
      <c r="B45" s="21" t="n">
        <v>2</v>
      </c>
      <c r="C45" s="22" t="inlineStr">
        <is>
          <t>Juan Medina Alvarado</t>
        </is>
      </c>
      <c r="D45" s="7" t="inlineStr">
        <is>
          <t>T4 · VERDE</t>
        </is>
      </c>
      <c r="E45" s="22" t="inlineStr">
        <is>
          <t>Fiebre alta con convulsión</t>
        </is>
      </c>
      <c r="F45" s="21" t="n">
        <v>70</v>
      </c>
      <c r="G45" s="21" t="inlineStr">
        <is>
          <t>Adulto mayor</t>
        </is>
      </c>
      <c r="H45" s="21" t="inlineStr">
        <is>
          <t>13:54:00</t>
        </is>
      </c>
      <c r="I45" s="21" t="n">
        <v>1470</v>
      </c>
      <c r="J45" s="21" t="n">
        <v>25</v>
      </c>
      <c r="K45" s="27" t="n">
        <v>1495</v>
      </c>
      <c r="L45" s="22" t="inlineStr">
        <is>
          <t>Laura Gómez</t>
        </is>
      </c>
    </row>
    <row r="46">
      <c r="A46" s="7" t="n">
        <v>43</v>
      </c>
      <c r="B46" s="24" t="n">
        <v>24</v>
      </c>
      <c r="C46" s="25" t="inlineStr">
        <is>
          <t>Ana Díaz Rodríguez</t>
        </is>
      </c>
      <c r="D46" s="7" t="inlineStr">
        <is>
          <t>T4 · VERDE</t>
        </is>
      </c>
      <c r="E46" s="25" t="inlineStr">
        <is>
          <t>Fiebre alta con convulsión</t>
        </is>
      </c>
      <c r="F46" s="24" t="n">
        <v>72</v>
      </c>
      <c r="G46" s="24" t="inlineStr">
        <is>
          <t>Adulto mayor</t>
        </is>
      </c>
      <c r="H46" s="24" t="inlineStr">
        <is>
          <t>19:00:00</t>
        </is>
      </c>
      <c r="I46" s="24" t="n">
        <v>1495</v>
      </c>
      <c r="J46" s="24" t="n">
        <v>25</v>
      </c>
      <c r="K46" s="27" t="n">
        <v>1520</v>
      </c>
      <c r="L46" s="25" t="inlineStr">
        <is>
          <t>Sofía Torres</t>
        </is>
      </c>
    </row>
    <row r="47">
      <c r="A47" s="7" t="n">
        <v>44</v>
      </c>
      <c r="B47" s="21" t="n">
        <v>12</v>
      </c>
      <c r="C47" s="22" t="inlineStr">
        <is>
          <t>Fernanda Sánchez López</t>
        </is>
      </c>
      <c r="D47" s="7" t="inlineStr">
        <is>
          <t>T4 · VERDE</t>
        </is>
      </c>
      <c r="E47" s="22" t="inlineStr">
        <is>
          <t>Fiebre alta con convulsión</t>
        </is>
      </c>
      <c r="F47" s="21" t="n">
        <v>29</v>
      </c>
      <c r="G47" s="21" t="inlineStr">
        <is>
          <t>Adulto</t>
        </is>
      </c>
      <c r="H47" s="21" t="inlineStr">
        <is>
          <t>07:05:00</t>
        </is>
      </c>
      <c r="I47" s="21" t="n">
        <v>1520</v>
      </c>
      <c r="J47" s="21" t="n">
        <v>25</v>
      </c>
      <c r="K47" s="27" t="n">
        <v>1545</v>
      </c>
      <c r="L47" s="22" t="inlineStr">
        <is>
          <t>Laura Gómez</t>
        </is>
      </c>
    </row>
    <row r="48">
      <c r="A48" s="7" t="n">
        <v>45</v>
      </c>
      <c r="B48" s="24" t="n">
        <v>21</v>
      </c>
      <c r="C48" s="25" t="inlineStr">
        <is>
          <t>Nicolás Torres Bernal</t>
        </is>
      </c>
      <c r="D48" s="7" t="inlineStr">
        <is>
          <t>T4 · VERDE</t>
        </is>
      </c>
      <c r="E48" s="25" t="inlineStr">
        <is>
          <t>Fiebre alta con convulsión</t>
        </is>
      </c>
      <c r="F48" s="24" t="n">
        <v>18</v>
      </c>
      <c r="G48" s="24" t="inlineStr">
        <is>
          <t>Adulto</t>
        </is>
      </c>
      <c r="H48" s="24" t="inlineStr">
        <is>
          <t>10:26:00</t>
        </is>
      </c>
      <c r="I48" s="24" t="n">
        <v>1545</v>
      </c>
      <c r="J48" s="24" t="n">
        <v>25</v>
      </c>
      <c r="K48" s="27" t="n">
        <v>1570</v>
      </c>
      <c r="L48" s="25" t="inlineStr">
        <is>
          <t>Andrés Martínez</t>
        </is>
      </c>
    </row>
    <row r="49">
      <c r="A49" s="7" t="n">
        <v>46</v>
      </c>
      <c r="B49" s="21" t="n">
        <v>3</v>
      </c>
      <c r="C49" s="22" t="inlineStr">
        <is>
          <t>Sofía Martínez Morales</t>
        </is>
      </c>
      <c r="D49" s="7" t="inlineStr">
        <is>
          <t>T4 · VERDE</t>
        </is>
      </c>
      <c r="E49" s="22" t="inlineStr">
        <is>
          <t>Herida con sangrado moderado</t>
        </is>
      </c>
      <c r="F49" s="21" t="n">
        <v>41</v>
      </c>
      <c r="G49" s="21" t="inlineStr">
        <is>
          <t>Adulto</t>
        </is>
      </c>
      <c r="H49" s="21" t="inlineStr">
        <is>
          <t>10:33:00</t>
        </is>
      </c>
      <c r="I49" s="21" t="n">
        <v>1570</v>
      </c>
      <c r="J49" s="21" t="n">
        <v>20</v>
      </c>
      <c r="K49" s="27" t="n">
        <v>1590</v>
      </c>
      <c r="L49" s="22" t="inlineStr">
        <is>
          <t>Carlos Ramírez</t>
        </is>
      </c>
    </row>
    <row r="50">
      <c r="A50" s="7" t="n">
        <v>47</v>
      </c>
      <c r="B50" s="24" t="n">
        <v>40</v>
      </c>
      <c r="C50" s="25" t="inlineStr">
        <is>
          <t>Luis Alvarado Pardo</t>
        </is>
      </c>
      <c r="D50" s="7" t="inlineStr">
        <is>
          <t>T4 · VERDE</t>
        </is>
      </c>
      <c r="E50" s="25" t="inlineStr">
        <is>
          <t>Fiebre alta con convulsión</t>
        </is>
      </c>
      <c r="F50" s="24" t="n">
        <v>19</v>
      </c>
      <c r="G50" s="24" t="inlineStr">
        <is>
          <t>Adulto</t>
        </is>
      </c>
      <c r="H50" s="24" t="inlineStr">
        <is>
          <t>12:29:00</t>
        </is>
      </c>
      <c r="I50" s="24" t="n">
        <v>1590</v>
      </c>
      <c r="J50" s="24" t="n">
        <v>25</v>
      </c>
      <c r="K50" s="27" t="n">
        <v>1615</v>
      </c>
      <c r="L50" s="25" t="inlineStr">
        <is>
          <t>Carlos Ramírez</t>
        </is>
      </c>
    </row>
    <row r="51">
      <c r="A51" s="7" t="n">
        <v>48</v>
      </c>
      <c r="B51" s="21" t="n">
        <v>30</v>
      </c>
      <c r="C51" s="22" t="inlineStr">
        <is>
          <t>Mariana López Muñoz</t>
        </is>
      </c>
      <c r="D51" s="7" t="inlineStr">
        <is>
          <t>T4 · VERDE</t>
        </is>
      </c>
      <c r="E51" s="22" t="inlineStr">
        <is>
          <t>Herida con sangrado moderado</t>
        </is>
      </c>
      <c r="F51" s="21" t="n">
        <v>58</v>
      </c>
      <c r="G51" s="21" t="inlineStr">
        <is>
          <t>Adulto</t>
        </is>
      </c>
      <c r="H51" s="21" t="inlineStr">
        <is>
          <t>15:43:00</t>
        </is>
      </c>
      <c r="I51" s="21" t="n">
        <v>1615</v>
      </c>
      <c r="J51" s="21" t="n">
        <v>20</v>
      </c>
      <c r="K51" s="27" t="n">
        <v>1635</v>
      </c>
      <c r="L51" s="22" t="inlineStr">
        <is>
          <t>Felipe Herrera</t>
        </is>
      </c>
    </row>
    <row r="52">
      <c r="A52" s="7" t="n">
        <v>49</v>
      </c>
      <c r="B52" s="24" t="n">
        <v>1</v>
      </c>
      <c r="C52" s="25" t="inlineStr">
        <is>
          <t>Carlos Bernal Pardo</t>
        </is>
      </c>
      <c r="D52" s="7" t="inlineStr">
        <is>
          <t>T4 · VERDE</t>
        </is>
      </c>
      <c r="E52" s="25" t="inlineStr">
        <is>
          <t>Fiebre alta con convulsión</t>
        </is>
      </c>
      <c r="F52" s="24" t="n">
        <v>26</v>
      </c>
      <c r="G52" s="24" t="inlineStr">
        <is>
          <t>Adulto</t>
        </is>
      </c>
      <c r="H52" s="24" t="inlineStr">
        <is>
          <t>17:53:00</t>
        </is>
      </c>
      <c r="I52" s="24" t="n">
        <v>1635</v>
      </c>
      <c r="J52" s="24" t="n">
        <v>25</v>
      </c>
      <c r="K52" s="27" t="n">
        <v>1660</v>
      </c>
      <c r="L52" s="25" t="inlineStr">
        <is>
          <t>Sofía Torres</t>
        </is>
      </c>
    </row>
    <row r="53">
      <c r="A53" s="7" t="n">
        <v>50</v>
      </c>
      <c r="B53" s="21" t="n">
        <v>15</v>
      </c>
      <c r="C53" s="22" t="inlineStr">
        <is>
          <t>Miguel Ríos Pardo</t>
        </is>
      </c>
      <c r="D53" s="7" t="inlineStr">
        <is>
          <t>T4 · VERDE</t>
        </is>
      </c>
      <c r="E53" s="22" t="inlineStr">
        <is>
          <t>Fiebre alta con convulsión</t>
        </is>
      </c>
      <c r="F53" s="21" t="n">
        <v>29</v>
      </c>
      <c r="G53" s="21" t="inlineStr">
        <is>
          <t>Adulto</t>
        </is>
      </c>
      <c r="H53" s="21" t="inlineStr">
        <is>
          <t>19:53:00</t>
        </is>
      </c>
      <c r="I53" s="21" t="n">
        <v>1660</v>
      </c>
      <c r="J53" s="21" t="n">
        <v>25</v>
      </c>
      <c r="K53" s="27" t="n">
        <v>1685</v>
      </c>
      <c r="L53" s="22" t="inlineStr">
        <is>
          <t>Felipe Herrera</t>
        </is>
      </c>
    </row>
    <row r="54">
      <c r="A54" s="8" t="n">
        <v>51</v>
      </c>
      <c r="B54" s="24" t="n">
        <v>58</v>
      </c>
      <c r="C54" s="25" t="inlineStr">
        <is>
          <t>Santiago Ríos Ospina</t>
        </is>
      </c>
      <c r="D54" s="8" t="inlineStr">
        <is>
          <t>T5 · AZUL</t>
        </is>
      </c>
      <c r="E54" s="25" t="inlineStr">
        <is>
          <t>Dolor leve / Malestar general</t>
        </is>
      </c>
      <c r="F54" s="24" t="n">
        <v>0</v>
      </c>
      <c r="G54" s="24" t="inlineStr">
        <is>
          <t>Neonato</t>
        </is>
      </c>
      <c r="H54" s="24" t="inlineStr">
        <is>
          <t>12:57:00</t>
        </is>
      </c>
      <c r="I54" s="24" t="n">
        <v>1685</v>
      </c>
      <c r="J54" s="24" t="n">
        <v>15</v>
      </c>
      <c r="K54" s="27" t="n">
        <v>1700</v>
      </c>
      <c r="L54" s="25" t="inlineStr">
        <is>
          <t>Carlos Ramírez</t>
        </is>
      </c>
    </row>
    <row r="55">
      <c r="A55" s="8" t="n">
        <v>52</v>
      </c>
      <c r="B55" s="21" t="n">
        <v>9</v>
      </c>
      <c r="C55" s="22" t="inlineStr">
        <is>
          <t>Valentina López Ramírez</t>
        </is>
      </c>
      <c r="D55" s="8" t="inlineStr">
        <is>
          <t>T5 · AZUL</t>
        </is>
      </c>
      <c r="E55" s="22" t="inlineStr">
        <is>
          <t>Consulta menor (gripe, tos)</t>
        </is>
      </c>
      <c r="F55" s="21" t="n">
        <v>88</v>
      </c>
      <c r="G55" s="21" t="inlineStr">
        <is>
          <t>Anciano</t>
        </is>
      </c>
      <c r="H55" s="21" t="inlineStr">
        <is>
          <t>17:09:00</t>
        </is>
      </c>
      <c r="I55" s="21" t="n">
        <v>1700</v>
      </c>
      <c r="J55" s="21" t="n">
        <v>10</v>
      </c>
      <c r="K55" s="27" t="n">
        <v>1710</v>
      </c>
      <c r="L55" s="22" t="inlineStr">
        <is>
          <t>Felipe Herrera</t>
        </is>
      </c>
    </row>
    <row r="56">
      <c r="A56" s="8" t="n">
        <v>53</v>
      </c>
      <c r="B56" s="24" t="n">
        <v>52</v>
      </c>
      <c r="C56" s="25" t="inlineStr">
        <is>
          <t>María Ospina Alvarado</t>
        </is>
      </c>
      <c r="D56" s="8" t="inlineStr">
        <is>
          <t>T5 · AZUL</t>
        </is>
      </c>
      <c r="E56" s="25" t="inlineStr">
        <is>
          <t>Dolor leve / Malestar general</t>
        </is>
      </c>
      <c r="F56" s="24" t="n">
        <v>4</v>
      </c>
      <c r="G56" s="24" t="inlineStr">
        <is>
          <t>Infante</t>
        </is>
      </c>
      <c r="H56" s="24" t="inlineStr">
        <is>
          <t>08:07:00</t>
        </is>
      </c>
      <c r="I56" s="24" t="n">
        <v>1710</v>
      </c>
      <c r="J56" s="24" t="n">
        <v>15</v>
      </c>
      <c r="K56" s="27" t="n">
        <v>1725</v>
      </c>
      <c r="L56" s="25" t="inlineStr">
        <is>
          <t>Carlos Ramírez</t>
        </is>
      </c>
    </row>
    <row r="57">
      <c r="A57" s="8" t="n">
        <v>54</v>
      </c>
      <c r="B57" s="21" t="n">
        <v>42</v>
      </c>
      <c r="C57" s="22" t="inlineStr">
        <is>
          <t>Isabella Jiménez Martínez</t>
        </is>
      </c>
      <c r="D57" s="8" t="inlineStr">
        <is>
          <t>T5 · AZUL</t>
        </is>
      </c>
      <c r="E57" s="22" t="inlineStr">
        <is>
          <t>Dolor leve / Malestar general</t>
        </is>
      </c>
      <c r="F57" s="21" t="n">
        <v>67</v>
      </c>
      <c r="G57" s="21" t="inlineStr">
        <is>
          <t>Adulto mayor</t>
        </is>
      </c>
      <c r="H57" s="21" t="inlineStr">
        <is>
          <t>08:47:00</t>
        </is>
      </c>
      <c r="I57" s="21" t="n">
        <v>1725</v>
      </c>
      <c r="J57" s="21" t="n">
        <v>15</v>
      </c>
      <c r="K57" s="27" t="n">
        <v>1740</v>
      </c>
      <c r="L57" s="22" t="inlineStr">
        <is>
          <t>Andrés Martínez</t>
        </is>
      </c>
    </row>
    <row r="58">
      <c r="A58" s="8" t="n">
        <v>55</v>
      </c>
      <c r="B58" s="24" t="n">
        <v>27</v>
      </c>
      <c r="C58" s="25" t="inlineStr">
        <is>
          <t>Andrés Cruz Rodríguez</t>
        </is>
      </c>
      <c r="D58" s="8" t="inlineStr">
        <is>
          <t>T5 · AZUL</t>
        </is>
      </c>
      <c r="E58" s="25" t="inlineStr">
        <is>
          <t>Dolor leve / Malestar general</t>
        </is>
      </c>
      <c r="F58" s="24" t="n">
        <v>71</v>
      </c>
      <c r="G58" s="24" t="inlineStr">
        <is>
          <t>Adulto mayor</t>
        </is>
      </c>
      <c r="H58" s="24" t="inlineStr">
        <is>
          <t>11:17:00</t>
        </is>
      </c>
      <c r="I58" s="24" t="n">
        <v>1740</v>
      </c>
      <c r="J58" s="24" t="n">
        <v>15</v>
      </c>
      <c r="K58" s="27" t="n">
        <v>1755</v>
      </c>
      <c r="L58" s="25" t="inlineStr">
        <is>
          <t>Felipe Herrera</t>
        </is>
      </c>
    </row>
    <row r="59">
      <c r="A59" s="8" t="n">
        <v>56</v>
      </c>
      <c r="B59" s="21" t="n">
        <v>59</v>
      </c>
      <c r="C59" s="22" t="inlineStr">
        <is>
          <t>Claudia García García</t>
        </is>
      </c>
      <c r="D59" s="8" t="inlineStr">
        <is>
          <t>T5 · AZUL</t>
        </is>
      </c>
      <c r="E59" s="22" t="inlineStr">
        <is>
          <t>Dolor leve / Malestar general</t>
        </is>
      </c>
      <c r="F59" s="21" t="n">
        <v>52</v>
      </c>
      <c r="G59" s="21" t="inlineStr">
        <is>
          <t>Adulto</t>
        </is>
      </c>
      <c r="H59" s="21" t="inlineStr">
        <is>
          <t>07:48:00</t>
        </is>
      </c>
      <c r="I59" s="21" t="n">
        <v>1755</v>
      </c>
      <c r="J59" s="21" t="n">
        <v>15</v>
      </c>
      <c r="K59" s="27" t="n">
        <v>1770</v>
      </c>
      <c r="L59" s="22" t="inlineStr">
        <is>
          <t>Carlos Ramírez</t>
        </is>
      </c>
    </row>
    <row r="60">
      <c r="A60" s="8" t="n">
        <v>57</v>
      </c>
      <c r="B60" s="24" t="n">
        <v>6</v>
      </c>
      <c r="C60" s="25" t="inlineStr">
        <is>
          <t>Jorge Gómez Castro</t>
        </is>
      </c>
      <c r="D60" s="8" t="inlineStr">
        <is>
          <t>T5 · AZUL</t>
        </is>
      </c>
      <c r="E60" s="25" t="inlineStr">
        <is>
          <t>Consulta menor (gripe, tos)</t>
        </is>
      </c>
      <c r="F60" s="24" t="n">
        <v>31</v>
      </c>
      <c r="G60" s="24" t="inlineStr">
        <is>
          <t>Adulto</t>
        </is>
      </c>
      <c r="H60" s="24" t="inlineStr">
        <is>
          <t>09:25:00</t>
        </is>
      </c>
      <c r="I60" s="24" t="n">
        <v>1770</v>
      </c>
      <c r="J60" s="24" t="n">
        <v>10</v>
      </c>
      <c r="K60" s="27" t="n">
        <v>1780</v>
      </c>
      <c r="L60" s="25" t="inlineStr">
        <is>
          <t>Sofía Torres</t>
        </is>
      </c>
    </row>
    <row r="61">
      <c r="A61" s="8" t="n">
        <v>58</v>
      </c>
      <c r="B61" s="21" t="n">
        <v>4</v>
      </c>
      <c r="C61" s="22" t="inlineStr">
        <is>
          <t>Santiago Martínez Gómez</t>
        </is>
      </c>
      <c r="D61" s="8" t="inlineStr">
        <is>
          <t>T5 · AZUL</t>
        </is>
      </c>
      <c r="E61" s="22" t="inlineStr">
        <is>
          <t>Dolor leve / Malestar general</t>
        </is>
      </c>
      <c r="F61" s="21" t="n">
        <v>26</v>
      </c>
      <c r="G61" s="21" t="inlineStr">
        <is>
          <t>Adulto</t>
        </is>
      </c>
      <c r="H61" s="21" t="inlineStr">
        <is>
          <t>10:10:00</t>
        </is>
      </c>
      <c r="I61" s="21" t="n">
        <v>1780</v>
      </c>
      <c r="J61" s="21" t="n">
        <v>15</v>
      </c>
      <c r="K61" s="27" t="n">
        <v>1795</v>
      </c>
      <c r="L61" s="22" t="inlineStr">
        <is>
          <t>Andrés Martínez</t>
        </is>
      </c>
    </row>
    <row r="62">
      <c r="A62" s="8" t="n">
        <v>59</v>
      </c>
      <c r="B62" s="24" t="n">
        <v>38</v>
      </c>
      <c r="C62" s="25" t="inlineStr">
        <is>
          <t>Carlos Pardo Morales</t>
        </is>
      </c>
      <c r="D62" s="8" t="inlineStr">
        <is>
          <t>T5 · AZUL</t>
        </is>
      </c>
      <c r="E62" s="25" t="inlineStr">
        <is>
          <t>Consulta menor (gripe, tos)</t>
        </is>
      </c>
      <c r="F62" s="24" t="n">
        <v>24</v>
      </c>
      <c r="G62" s="24" t="inlineStr">
        <is>
          <t>Adulto</t>
        </is>
      </c>
      <c r="H62" s="24" t="inlineStr">
        <is>
          <t>11:37:00</t>
        </is>
      </c>
      <c r="I62" s="24" t="n">
        <v>1795</v>
      </c>
      <c r="J62" s="24" t="n">
        <v>10</v>
      </c>
      <c r="K62" s="27" t="n">
        <v>1805</v>
      </c>
      <c r="L62" s="25" t="inlineStr">
        <is>
          <t>Sofía Torres</t>
        </is>
      </c>
    </row>
    <row r="63">
      <c r="A63" s="8" t="n">
        <v>60</v>
      </c>
      <c r="B63" s="21" t="n">
        <v>26</v>
      </c>
      <c r="C63" s="22" t="inlineStr">
        <is>
          <t>Daniela Pardo Martínez</t>
        </is>
      </c>
      <c r="D63" s="8" t="inlineStr">
        <is>
          <t>T5 · AZUL</t>
        </is>
      </c>
      <c r="E63" s="22" t="inlineStr">
        <is>
          <t>Consulta menor (gripe, tos)</t>
        </is>
      </c>
      <c r="F63" s="21" t="n">
        <v>40</v>
      </c>
      <c r="G63" s="21" t="inlineStr">
        <is>
          <t>Adulto</t>
        </is>
      </c>
      <c r="H63" s="21" t="inlineStr">
        <is>
          <t>14:53:00</t>
        </is>
      </c>
      <c r="I63" s="21" t="n">
        <v>1805</v>
      </c>
      <c r="J63" s="21" t="n">
        <v>10</v>
      </c>
      <c r="K63" s="27" t="n">
        <v>1815</v>
      </c>
      <c r="L63" s="22" t="inlineStr">
        <is>
          <t>Carlos Ramírez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2" customWidth="1" min="4" max="4"/>
    <col width="13" customWidth="1" min="5" max="5"/>
    <col width="11" customWidth="1" min="6" max="6"/>
    <col width="10" customWidth="1" min="7" max="7"/>
    <col width="10" customWidth="1" min="8" max="8"/>
  </cols>
  <sheetData>
    <row r="1">
      <c r="A1" s="12" t="inlineStr">
        <is>
          <t>⏰ ANÁLISIS DE HORAS PICO — DISTRIBUCIÓN TEMPORAL DE LLEGADAS</t>
        </is>
      </c>
    </row>
    <row r="3">
      <c r="A3" s="15" t="inlineStr">
        <is>
          <t>LLEGADAS POR HORA DEL DÍA</t>
        </is>
      </c>
    </row>
    <row r="4">
      <c r="A4" s="3" t="inlineStr">
        <is>
          <t>HORA</t>
        </is>
      </c>
      <c r="B4" s="3" t="inlineStr">
        <is>
          <t>TOTAL</t>
        </is>
      </c>
      <c r="C4" s="3" t="inlineStr">
        <is>
          <t>T1 ROJO</t>
        </is>
      </c>
      <c r="D4" s="3" t="inlineStr">
        <is>
          <t>T2 NARANJA</t>
        </is>
      </c>
      <c r="E4" s="3" t="inlineStr">
        <is>
          <t>T3 AMARILLO</t>
        </is>
      </c>
      <c r="F4" s="3" t="inlineStr">
        <is>
          <t>T4 VERDE</t>
        </is>
      </c>
      <c r="G4" s="3" t="inlineStr">
        <is>
          <t>T5 AZUL</t>
        </is>
      </c>
      <c r="H4" s="3" t="inlineStr">
        <is>
          <t>% DEL DÍA</t>
        </is>
      </c>
    </row>
    <row r="5">
      <c r="A5" s="28" t="inlineStr">
        <is>
          <t>06:00 - 07:00</t>
        </is>
      </c>
      <c r="B5" s="21" t="n">
        <v>0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0</v>
      </c>
      <c r="H5" s="21" t="inlineStr">
        <is>
          <t>0.0%</t>
        </is>
      </c>
    </row>
    <row r="6">
      <c r="A6" s="29" t="inlineStr">
        <is>
          <t>07:00 - 08:00</t>
        </is>
      </c>
      <c r="B6" s="30" t="n">
        <v>3</v>
      </c>
      <c r="C6" s="31" t="n">
        <v>0</v>
      </c>
      <c r="D6" s="31" t="n">
        <v>0</v>
      </c>
      <c r="E6" s="31" t="n">
        <v>0</v>
      </c>
      <c r="F6" s="32" t="n">
        <v>2</v>
      </c>
      <c r="G6" s="24" t="n">
        <v>1</v>
      </c>
      <c r="H6" s="33" t="inlineStr">
        <is>
          <t>5.0%</t>
        </is>
      </c>
    </row>
    <row r="7">
      <c r="A7" s="29" t="inlineStr">
        <is>
          <t>08:00 - 09:00</t>
        </is>
      </c>
      <c r="B7" s="30" t="n">
        <v>9</v>
      </c>
      <c r="C7" s="31" t="n">
        <v>0</v>
      </c>
      <c r="D7" s="34" t="n">
        <v>1</v>
      </c>
      <c r="E7" s="35" t="n">
        <v>5</v>
      </c>
      <c r="F7" s="32" t="n">
        <v>1</v>
      </c>
      <c r="G7" s="24" t="n">
        <v>2</v>
      </c>
      <c r="H7" s="33" t="inlineStr">
        <is>
          <t>15.0%</t>
        </is>
      </c>
    </row>
    <row r="8">
      <c r="A8" s="29" t="inlineStr">
        <is>
          <t>09:00 - 10:00</t>
        </is>
      </c>
      <c r="B8" s="30" t="n">
        <v>2</v>
      </c>
      <c r="C8" s="31" t="n">
        <v>0</v>
      </c>
      <c r="D8" s="34" t="n">
        <v>1</v>
      </c>
      <c r="E8" s="31" t="n">
        <v>0</v>
      </c>
      <c r="F8" s="31" t="n">
        <v>0</v>
      </c>
      <c r="G8" s="24" t="n">
        <v>1</v>
      </c>
      <c r="H8" s="33" t="inlineStr">
        <is>
          <t>3.3%</t>
        </is>
      </c>
    </row>
    <row r="9">
      <c r="A9" s="29" t="inlineStr">
        <is>
          <t>10:00 - 11:00</t>
        </is>
      </c>
      <c r="B9" s="30" t="n">
        <v>4</v>
      </c>
      <c r="C9" s="31" t="n">
        <v>0</v>
      </c>
      <c r="D9" s="31" t="n">
        <v>0</v>
      </c>
      <c r="E9" s="31" t="n">
        <v>0</v>
      </c>
      <c r="F9" s="32" t="n">
        <v>3</v>
      </c>
      <c r="G9" s="24" t="n">
        <v>1</v>
      </c>
      <c r="H9" s="33" t="inlineStr">
        <is>
          <t>6.7%</t>
        </is>
      </c>
    </row>
    <row r="10">
      <c r="A10" s="29" t="inlineStr">
        <is>
          <t>11:00 - 12:00</t>
        </is>
      </c>
      <c r="B10" s="30" t="n">
        <v>2</v>
      </c>
      <c r="C10" s="31" t="n">
        <v>0</v>
      </c>
      <c r="D10" s="31" t="n">
        <v>0</v>
      </c>
      <c r="E10" s="31" t="n">
        <v>0</v>
      </c>
      <c r="F10" s="31" t="n">
        <v>0</v>
      </c>
      <c r="G10" s="24" t="n">
        <v>2</v>
      </c>
      <c r="H10" s="33" t="inlineStr">
        <is>
          <t>3.3%</t>
        </is>
      </c>
    </row>
    <row r="11">
      <c r="A11" s="29" t="inlineStr">
        <is>
          <t>12:00 - 13:00</t>
        </is>
      </c>
      <c r="B11" s="30" t="n">
        <v>6</v>
      </c>
      <c r="C11" s="36" t="n">
        <v>2</v>
      </c>
      <c r="D11" s="31" t="n">
        <v>0</v>
      </c>
      <c r="E11" s="35" t="n">
        <v>1</v>
      </c>
      <c r="F11" s="32" t="n">
        <v>2</v>
      </c>
      <c r="G11" s="24" t="n">
        <v>1</v>
      </c>
      <c r="H11" s="33" t="inlineStr">
        <is>
          <t>10.0%</t>
        </is>
      </c>
    </row>
    <row r="12">
      <c r="A12" s="29" t="inlineStr">
        <is>
          <t>13:00 - 14:00</t>
        </is>
      </c>
      <c r="B12" s="30" t="n">
        <v>7</v>
      </c>
      <c r="C12" s="31" t="n">
        <v>0</v>
      </c>
      <c r="D12" s="34" t="n">
        <v>1</v>
      </c>
      <c r="E12" s="35" t="n">
        <v>4</v>
      </c>
      <c r="F12" s="32" t="n">
        <v>2</v>
      </c>
      <c r="G12" s="31" t="n">
        <v>0</v>
      </c>
      <c r="H12" s="33" t="inlineStr">
        <is>
          <t>11.7%</t>
        </is>
      </c>
    </row>
    <row r="13">
      <c r="A13" s="29" t="inlineStr">
        <is>
          <t>14:00 - 15:00</t>
        </is>
      </c>
      <c r="B13" s="30" t="n">
        <v>7</v>
      </c>
      <c r="C13" s="31" t="n">
        <v>0</v>
      </c>
      <c r="D13" s="31" t="n">
        <v>0</v>
      </c>
      <c r="E13" s="35" t="n">
        <v>4</v>
      </c>
      <c r="F13" s="32" t="n">
        <v>2</v>
      </c>
      <c r="G13" s="24" t="n">
        <v>1</v>
      </c>
      <c r="H13" s="33" t="inlineStr">
        <is>
          <t>11.7%</t>
        </is>
      </c>
    </row>
    <row r="14">
      <c r="A14" s="29" t="inlineStr">
        <is>
          <t>15:00 - 16:00</t>
        </is>
      </c>
      <c r="B14" s="30" t="n">
        <v>5</v>
      </c>
      <c r="C14" s="31" t="n">
        <v>0</v>
      </c>
      <c r="D14" s="34" t="n">
        <v>1</v>
      </c>
      <c r="E14" s="35" t="n">
        <v>3</v>
      </c>
      <c r="F14" s="32" t="n">
        <v>1</v>
      </c>
      <c r="G14" s="31" t="n">
        <v>0</v>
      </c>
      <c r="H14" s="33" t="inlineStr">
        <is>
          <t>8.3%</t>
        </is>
      </c>
    </row>
    <row r="15">
      <c r="A15" s="29" t="inlineStr">
        <is>
          <t>16:00 - 17:00</t>
        </is>
      </c>
      <c r="B15" s="30" t="n">
        <v>1</v>
      </c>
      <c r="C15" s="31" t="n">
        <v>0</v>
      </c>
      <c r="D15" s="31" t="n">
        <v>0</v>
      </c>
      <c r="E15" s="35" t="n">
        <v>1</v>
      </c>
      <c r="F15" s="31" t="n">
        <v>0</v>
      </c>
      <c r="G15" s="31" t="n">
        <v>0</v>
      </c>
      <c r="H15" s="33" t="inlineStr">
        <is>
          <t>1.7%</t>
        </is>
      </c>
    </row>
    <row r="16">
      <c r="A16" s="29" t="inlineStr">
        <is>
          <t>17:00 - 18:00</t>
        </is>
      </c>
      <c r="B16" s="30" t="n">
        <v>3</v>
      </c>
      <c r="C16" s="31" t="n">
        <v>0</v>
      </c>
      <c r="D16" s="34" t="n">
        <v>1</v>
      </c>
      <c r="E16" s="31" t="n">
        <v>0</v>
      </c>
      <c r="F16" s="32" t="n">
        <v>1</v>
      </c>
      <c r="G16" s="24" t="n">
        <v>1</v>
      </c>
      <c r="H16" s="33" t="inlineStr">
        <is>
          <t>5.0%</t>
        </is>
      </c>
    </row>
    <row r="17">
      <c r="A17" s="29" t="inlineStr">
        <is>
          <t>18:00 - 19:00</t>
        </is>
      </c>
      <c r="B17" s="30" t="n">
        <v>4</v>
      </c>
      <c r="C17" s="36" t="n">
        <v>2</v>
      </c>
      <c r="D17" s="34" t="n">
        <v>1</v>
      </c>
      <c r="E17" s="31" t="n">
        <v>0</v>
      </c>
      <c r="F17" s="32" t="n">
        <v>1</v>
      </c>
      <c r="G17" s="31" t="n">
        <v>0</v>
      </c>
      <c r="H17" s="33" t="inlineStr">
        <is>
          <t>6.7%</t>
        </is>
      </c>
    </row>
    <row r="18">
      <c r="A18" s="29" t="inlineStr">
        <is>
          <t>19:00 - 20:00</t>
        </is>
      </c>
      <c r="B18" s="30" t="n">
        <v>3</v>
      </c>
      <c r="C18" s="31" t="n">
        <v>0</v>
      </c>
      <c r="D18" s="31" t="n">
        <v>0</v>
      </c>
      <c r="E18" s="35" t="n">
        <v>1</v>
      </c>
      <c r="F18" s="32" t="n">
        <v>2</v>
      </c>
      <c r="G18" s="31" t="n">
        <v>0</v>
      </c>
      <c r="H18" s="33" t="inlineStr">
        <is>
          <t>5.0%</t>
        </is>
      </c>
    </row>
    <row r="19">
      <c r="A19" s="29" t="inlineStr">
        <is>
          <t>20:00 - 21:00</t>
        </is>
      </c>
      <c r="B19" s="30" t="n">
        <v>4</v>
      </c>
      <c r="C19" s="31" t="n">
        <v>0</v>
      </c>
      <c r="D19" s="31" t="n">
        <v>0</v>
      </c>
      <c r="E19" s="35" t="n">
        <v>3</v>
      </c>
      <c r="F19" s="32" t="n">
        <v>1</v>
      </c>
      <c r="G19" s="31" t="n">
        <v>0</v>
      </c>
      <c r="H19" s="33" t="inlineStr">
        <is>
          <t>6.7%</t>
        </is>
      </c>
    </row>
    <row r="20">
      <c r="A20" s="28" t="inlineStr">
        <is>
          <t>21:00 - 22:00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1" t="n">
        <v>0</v>
      </c>
      <c r="H20" s="21" t="inlineStr">
        <is>
          <t>0.0%</t>
        </is>
      </c>
    </row>
    <row r="21">
      <c r="A21" s="28" t="inlineStr">
        <is>
          <t>22:00 - 23:00</t>
        </is>
      </c>
      <c r="B21" s="21" t="n">
        <v>0</v>
      </c>
      <c r="C21" s="21" t="n">
        <v>0</v>
      </c>
      <c r="D21" s="21" t="n">
        <v>0</v>
      </c>
      <c r="E21" s="21" t="n">
        <v>0</v>
      </c>
      <c r="F21" s="21" t="n">
        <v>0</v>
      </c>
      <c r="G21" s="21" t="n">
        <v>0</v>
      </c>
      <c r="H21" s="21" t="inlineStr">
        <is>
          <t>0.0%</t>
        </is>
      </c>
    </row>
    <row r="22">
      <c r="A22" s="37" t="inlineStr">
        <is>
          <t>TOTAL</t>
        </is>
      </c>
      <c r="B22" s="38">
        <f>SUM(B5:B21)</f>
        <v/>
      </c>
      <c r="C22" s="38">
        <f>SUM(C5:C21)</f>
        <v/>
      </c>
      <c r="D22" s="38">
        <f>SUM(D5:D21)</f>
        <v/>
      </c>
      <c r="E22" s="38">
        <f>SUM(E5:E21)</f>
        <v/>
      </c>
      <c r="F22" s="38">
        <f>SUM(F5:F21)</f>
        <v/>
      </c>
      <c r="G22" s="38">
        <f>SUM(G5:G21)</f>
        <v/>
      </c>
      <c r="H22" s="38" t="inlineStr">
        <is>
          <t>100%</t>
        </is>
      </c>
    </row>
    <row r="24">
      <c r="A24" s="39" t="inlineStr">
        <is>
          <t>LEYENDA: HORAS PICO</t>
        </is>
      </c>
    </row>
    <row r="25">
      <c r="A25" s="40" t="inlineStr">
        <is>
          <t>07:00 - 10:00</t>
        </is>
      </c>
      <c r="B25" s="41" t="inlineStr">
        <is>
          <t>MAÑANA (Alta)</t>
        </is>
      </c>
      <c r="C25" s="42" t="inlineStr">
        <is>
          <t>Llegada de pacientes post-madrugada</t>
        </is>
      </c>
    </row>
    <row r="26">
      <c r="A26" s="40" t="inlineStr">
        <is>
          <t>12:00 - 15:00</t>
        </is>
      </c>
      <c r="B26" s="41" t="inlineStr">
        <is>
          <t>TARDE (Muy Alta)</t>
        </is>
      </c>
      <c r="C26" s="42" t="inlineStr">
        <is>
          <t>Hora de mayor afluencia del día</t>
        </is>
      </c>
    </row>
    <row r="27">
      <c r="A27" s="40" t="inlineStr">
        <is>
          <t>18:00 - 21:00</t>
        </is>
      </c>
      <c r="B27" s="41" t="inlineStr">
        <is>
          <t>NOCHE (Media-Alta)</t>
        </is>
      </c>
      <c r="C27" s="42" t="inlineStr">
        <is>
          <t>Pacientes post-jornada laboral</t>
        </is>
      </c>
    </row>
  </sheetData>
  <mergeCells count="6">
    <mergeCell ref="A3:H3"/>
    <mergeCell ref="C25:D25"/>
    <mergeCell ref="C27:D27"/>
    <mergeCell ref="A24:D24"/>
    <mergeCell ref="A1:H1"/>
    <mergeCell ref="C26:D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2026-05-26T15:31:38Z</dcterms:created>
  <dcterms:modified xsi:type="dcterms:W3CDTF">2026-05-26T15:31:39Z</dcterms:modified>
</cp:coreProperties>
</file>