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_SIMULACION" sheetId="1" state="visible" r:id="rId1"/>
    <sheet name="COLA_PRIORIDAD" sheetId="2" state="visible" r:id="rId2"/>
    <sheet name="DASHBOARD_GENERAL" sheetId="3" state="visible" r:id="rId3"/>
    <sheet name="DASHBOARD_POR_PACIENTE" sheetId="4" state="visible" r:id="rId4"/>
    <sheet name="DASHBOARD_HORAS_P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b val="1"/>
      <color rgb="00B7950B"/>
      <sz val="9"/>
    </font>
    <font>
      <name val="Calibri"/>
      <b val="1"/>
      <color rgb="00CA6F1E"/>
      <sz val="9"/>
    </font>
    <font>
      <name val="Calibri"/>
      <b val="1"/>
      <color rgb="001A5276"/>
      <sz val="9"/>
    </font>
    <font>
      <name val="Calibri"/>
      <b val="1"/>
      <color rgb="001E8449"/>
      <sz val="9"/>
    </font>
    <font>
      <name val="Calibri"/>
      <b val="1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1A3A5C"/>
      <sz val="12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A3"/>
      </patternFill>
    </fill>
    <fill>
      <patternFill patternType="solid">
        <fgColor rgb="00FFEECC"/>
      </patternFill>
    </fill>
    <fill>
      <patternFill patternType="solid">
        <fgColor rgb="00FFE5CC"/>
      </patternFill>
    </fill>
    <fill>
      <patternFill patternType="solid">
        <fgColor rgb="00CCE5FF"/>
      </patternFill>
    </fill>
    <fill>
      <patternFill patternType="solid">
        <fgColor rgb="00CCFFCC"/>
      </patternFill>
    </fill>
    <fill>
      <patternFill patternType="solid">
        <fgColor rgb="00FFCCCC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FFFACC"/>
      </patternFill>
    </fill>
    <fill>
      <patternFill patternType="solid">
        <fgColor rgb="00FFD5D5"/>
      </patternFill>
    </fill>
    <fill>
      <patternFill patternType="solid">
        <fgColor rgb="00FFF3E0"/>
      </patternFill>
    </fill>
    <fill>
      <patternFill patternType="solid">
        <fgColor rgb="00E8F8F5"/>
      </patternFill>
    </fill>
    <fill>
      <patternFill patternType="solid">
        <fgColor rgb="00FFE0B2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2" fillId="19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Nivel de Triage</a:t>
            </a:r>
          </a:p>
        </rich>
      </tx>
    </title>
    <plotArea>
      <pieChart>
        <varyColors val="1"/>
        <ser>
          <idx val="0"/>
          <order val="0"/>
          <tx>
            <strRef>
              <f>'DASHBOARD_GENERAL'!B19</f>
            </strRef>
          </tx>
          <spPr>
            <a:ln>
              <a:prstDash val="solid"/>
            </a:ln>
          </spPr>
          <cat>
            <numRef>
              <f>'DASHBOARD_GENERAL'!$A$20:$A$24</f>
            </numRef>
          </cat>
          <val>
            <numRef>
              <f>'DASHBOARD_GENERAL'!$B$20:$B$24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PACIENTES ASIGNADOS POR DOCTOR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'DASHBOARD_GENERAL'!B27</f>
            </strRef>
          </tx>
          <spPr>
            <a:ln>
              <a:prstDash val="solid"/>
            </a:ln>
          </spPr>
          <cat>
            <numRef>
              <f>'DASHBOARD_GENERAL'!$A$28:$A$32</f>
            </numRef>
          </cat>
          <val>
            <numRef>
              <f>'DASHBOARD_GENERAL'!$B$28:$B$32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Pacientes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Pacientes por Hora del Día (Simulación Horas Pico)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'DASHBOARD_HORAS_PICO'!B4</f>
            </strRef>
          </tx>
          <spPr>
            <a:ln>
              <a:prstDash val="solid"/>
            </a:ln>
          </spPr>
          <cat>
            <numRef>
              <f>'DASHBOARD_HORAS_PICO'!$A$5:$A$21</f>
            </numRef>
          </cat>
          <val>
            <numRef>
              <f>'DASHBOARD_HORAS_PICO'!$B$5:$B$21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Pacientes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29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6" customWidth="1" min="4" max="4"/>
    <col width="6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36" customWidth="1" min="12" max="12"/>
    <col width="14" customWidth="1" min="13" max="13"/>
    <col width="15" customWidth="1" min="14" max="14"/>
    <col width="15" customWidth="1" min="15" max="15"/>
    <col width="24" customWidth="1" min="16" max="16"/>
  </cols>
  <sheetData>
    <row r="1" ht="28" customHeight="1">
      <c r="A1" s="1" t="inlineStr">
        <is>
          <t>SIMULACIÓN HORAS PICO — HOSPITAL DEL TUNAL · URGENCIAS</t>
        </is>
      </c>
    </row>
    <row r="2" ht="18" customHeight="1">
      <c r="A2" s="2" t="inlineStr">
        <is>
          <t>Generado: 2026-05-27 17:47  |  60 pacientes  |  Seed 42 (reproducible)</t>
        </is>
      </c>
    </row>
    <row r="3">
      <c r="A3" s="3" t="inlineStr">
        <is>
          <t>N° TURNO</t>
        </is>
      </c>
      <c r="B3" s="3" t="inlineStr">
        <is>
          <t>NOMBRE COMPLETO</t>
        </is>
      </c>
      <c r="C3" s="3" t="inlineStr">
        <is>
          <t>CÉDULA</t>
        </is>
      </c>
      <c r="D3" s="3" t="inlineStr">
        <is>
          <t>SEXO</t>
        </is>
      </c>
      <c r="E3" s="3" t="inlineStr">
        <is>
          <t>EDAD</t>
        </is>
      </c>
      <c r="F3" s="3" t="inlineStr">
        <is>
          <t>GRUPO EDAD</t>
        </is>
      </c>
      <c r="G3" s="3" t="inlineStr">
        <is>
          <t>FECHA NAC.</t>
        </is>
      </c>
      <c r="H3" s="3" t="inlineStr">
        <is>
          <t>EPS</t>
        </is>
      </c>
      <c r="I3" s="3" t="inlineStr">
        <is>
          <t>TELÉFONO</t>
        </is>
      </c>
      <c r="J3" s="3" t="inlineStr">
        <is>
          <t>TEL. EMERGENCIA</t>
        </is>
      </c>
      <c r="K3" s="3" t="inlineStr">
        <is>
          <t>HORA REGISTRO</t>
        </is>
      </c>
      <c r="L3" s="3" t="inlineStr">
        <is>
          <t>TIPO EMERGENCIA</t>
        </is>
      </c>
      <c r="M3" s="3" t="inlineStr">
        <is>
          <t>TRIAGE</t>
        </is>
      </c>
      <c r="N3" s="3" t="inlineStr">
        <is>
          <t>T. ATENCIÓN (min)</t>
        </is>
      </c>
      <c r="O3" s="3" t="inlineStr">
        <is>
          <t>ESPERA EST. (min)</t>
        </is>
      </c>
      <c r="P3" s="3" t="inlineStr">
        <is>
          <t>DOCTOR ASIGNADO</t>
        </is>
      </c>
    </row>
    <row r="4">
      <c r="A4" s="4" t="n">
        <v>136</v>
      </c>
      <c r="B4" s="5" t="inlineStr">
        <is>
          <t>Isabella Cruz Medina</t>
        </is>
      </c>
      <c r="C4" s="6" t="inlineStr">
        <is>
          <t>97300434</t>
        </is>
      </c>
      <c r="D4" s="6" t="inlineStr">
        <is>
          <t>F</t>
        </is>
      </c>
      <c r="E4" s="6" t="n">
        <v>89</v>
      </c>
      <c r="F4" s="6" t="inlineStr">
        <is>
          <t>Anciano</t>
        </is>
      </c>
      <c r="G4" s="6" t="inlineStr">
        <is>
          <t>1937-05-27</t>
        </is>
      </c>
      <c r="H4" s="5" t="inlineStr">
        <is>
          <t>COOMEVA</t>
        </is>
      </c>
      <c r="I4" s="6" t="inlineStr">
        <is>
          <t>3419720413</t>
        </is>
      </c>
      <c r="J4" s="6" t="inlineStr">
        <is>
          <t>3387781092</t>
        </is>
      </c>
      <c r="K4" s="6" t="inlineStr">
        <is>
          <t>07:07:00</t>
        </is>
      </c>
      <c r="L4" s="5" t="inlineStr">
        <is>
          <t>FRACTURA CON COMPROMISO VASCULAR</t>
        </is>
      </c>
      <c r="M4" s="7" t="inlineStr">
        <is>
          <t>T3 · AMARILLO</t>
        </is>
      </c>
      <c r="N4" s="6" t="n">
        <v>35</v>
      </c>
      <c r="O4" s="6" t="n">
        <v>52</v>
      </c>
      <c r="P4" s="5" t="inlineStr">
        <is>
          <t>Felipe Herrera</t>
        </is>
      </c>
    </row>
    <row r="5">
      <c r="A5" s="4" t="n">
        <v>132</v>
      </c>
      <c r="B5" s="5" t="inlineStr">
        <is>
          <t>Juan Jiménez Ospina</t>
        </is>
      </c>
      <c r="C5" s="6" t="inlineStr">
        <is>
          <t>32148248</t>
        </is>
      </c>
      <c r="D5" s="6" t="inlineStr">
        <is>
          <t>M</t>
        </is>
      </c>
      <c r="E5" s="6" t="n">
        <v>18</v>
      </c>
      <c r="F5" s="6" t="inlineStr">
        <is>
          <t>Adulto</t>
        </is>
      </c>
      <c r="G5" s="6" t="inlineStr">
        <is>
          <t>2008-05-27</t>
        </is>
      </c>
      <c r="H5" s="5" t="inlineStr">
        <is>
          <t>FAMISANAR</t>
        </is>
      </c>
      <c r="I5" s="6" t="inlineStr">
        <is>
          <t>3421793588</t>
        </is>
      </c>
      <c r="J5" s="6" t="inlineStr">
        <is>
          <t>3246193743</t>
        </is>
      </c>
      <c r="K5" s="6" t="inlineStr">
        <is>
          <t>07:09:00</t>
        </is>
      </c>
      <c r="L5" s="5" t="inlineStr">
        <is>
          <t>ACV / DERRAME CEREBRAL</t>
        </is>
      </c>
      <c r="M5" s="8" t="inlineStr">
        <is>
          <t>T2 · NARANJA</t>
        </is>
      </c>
      <c r="N5" s="6" t="n">
        <v>50</v>
      </c>
      <c r="O5" s="6" t="n">
        <v>107</v>
      </c>
      <c r="P5" s="5" t="inlineStr">
        <is>
          <t>Laura Gómez</t>
        </is>
      </c>
    </row>
    <row r="6">
      <c r="A6" s="4" t="n">
        <v>146</v>
      </c>
      <c r="B6" s="5" t="inlineStr">
        <is>
          <t>Felipe Ríos Castro</t>
        </is>
      </c>
      <c r="C6" s="6" t="inlineStr">
        <is>
          <t>43590706</t>
        </is>
      </c>
      <c r="D6" s="6" t="inlineStr">
        <is>
          <t>M</t>
        </is>
      </c>
      <c r="E6" s="6" t="n">
        <v>87</v>
      </c>
      <c r="F6" s="6" t="inlineStr">
        <is>
          <t>Anciano</t>
        </is>
      </c>
      <c r="G6" s="6" t="inlineStr">
        <is>
          <t>1939-05-27</t>
        </is>
      </c>
      <c r="H6" s="5" t="inlineStr">
        <is>
          <t>MEDIMAS</t>
        </is>
      </c>
      <c r="I6" s="6" t="inlineStr">
        <is>
          <t>3378120028</t>
        </is>
      </c>
      <c r="J6" s="6" t="inlineStr">
        <is>
          <t>3821517227</t>
        </is>
      </c>
      <c r="K6" s="6" t="inlineStr">
        <is>
          <t>07:14:00</t>
        </is>
      </c>
      <c r="L6" s="5" t="inlineStr">
        <is>
          <t>DOLOR LEVE / MALESTAR GENERAL</t>
        </is>
      </c>
      <c r="M6" s="9" t="inlineStr">
        <is>
          <t>T5 · AZUL</t>
        </is>
      </c>
      <c r="N6" s="6" t="n">
        <v>15</v>
      </c>
      <c r="O6" s="6" t="n">
        <v>80</v>
      </c>
      <c r="P6" s="5" t="inlineStr">
        <is>
          <t>Carlos Ramírez</t>
        </is>
      </c>
    </row>
    <row r="7">
      <c r="A7" s="4" t="n">
        <v>68</v>
      </c>
      <c r="B7" s="5" t="inlineStr">
        <is>
          <t>Daniela Sánchez Muñoz</t>
        </is>
      </c>
      <c r="C7" s="6" t="inlineStr">
        <is>
          <t>92580958</t>
        </is>
      </c>
      <c r="D7" s="6" t="inlineStr">
        <is>
          <t>F</t>
        </is>
      </c>
      <c r="E7" s="6" t="n">
        <v>45</v>
      </c>
      <c r="F7" s="6" t="inlineStr">
        <is>
          <t>Adulto</t>
        </is>
      </c>
      <c r="G7" s="6" t="inlineStr">
        <is>
          <t>1981-05-27</t>
        </is>
      </c>
      <c r="H7" s="5" t="inlineStr">
        <is>
          <t>ALIANSALUD</t>
        </is>
      </c>
      <c r="I7" s="6" t="inlineStr">
        <is>
          <t>3612525768</t>
        </is>
      </c>
      <c r="J7" s="6" t="inlineStr">
        <is>
          <t>3982817427</t>
        </is>
      </c>
      <c r="K7" s="6" t="inlineStr">
        <is>
          <t>07:26:00</t>
        </is>
      </c>
      <c r="L7" s="5" t="inlineStr">
        <is>
          <t>DIFICULTAD RESPIRATORIA SEVERA</t>
        </is>
      </c>
      <c r="M7" s="8" t="inlineStr">
        <is>
          <t>T2 · NARANJA</t>
        </is>
      </c>
      <c r="N7" s="6" t="n">
        <v>45</v>
      </c>
      <c r="O7" s="6" t="n">
        <v>15</v>
      </c>
      <c r="P7" s="5" t="inlineStr">
        <is>
          <t>Laura Gómez</t>
        </is>
      </c>
    </row>
    <row r="8">
      <c r="A8" s="4" t="n">
        <v>106</v>
      </c>
      <c r="B8" s="5" t="inlineStr">
        <is>
          <t>Nicolás Vargas Morales</t>
        </is>
      </c>
      <c r="C8" s="6" t="inlineStr">
        <is>
          <t>67220654</t>
        </is>
      </c>
      <c r="D8" s="6" t="inlineStr">
        <is>
          <t>M</t>
        </is>
      </c>
      <c r="E8" s="6" t="n">
        <v>44</v>
      </c>
      <c r="F8" s="6" t="inlineStr">
        <is>
          <t>Adulto</t>
        </is>
      </c>
      <c r="G8" s="6" t="inlineStr">
        <is>
          <t>1982-05-27</t>
        </is>
      </c>
      <c r="H8" s="5" t="inlineStr">
        <is>
          <t>CAJACOPI</t>
        </is>
      </c>
      <c r="I8" s="6" t="inlineStr">
        <is>
          <t>3229739131</t>
        </is>
      </c>
      <c r="J8" s="6" t="inlineStr">
        <is>
          <t>3796303523</t>
        </is>
      </c>
      <c r="K8" s="6" t="inlineStr">
        <is>
          <t>07:29:00</t>
        </is>
      </c>
      <c r="L8" s="5" t="inlineStr">
        <is>
          <t>DOLOR LEVE / MALESTAR GENERAL</t>
        </is>
      </c>
      <c r="M8" s="9" t="inlineStr">
        <is>
          <t>T5 · AZUL</t>
        </is>
      </c>
      <c r="N8" s="6" t="n">
        <v>15</v>
      </c>
      <c r="O8" s="6" t="n">
        <v>64</v>
      </c>
      <c r="P8" s="5" t="inlineStr">
        <is>
          <t>Laura Gómez</t>
        </is>
      </c>
    </row>
    <row r="9">
      <c r="A9" s="4" t="n">
        <v>121</v>
      </c>
      <c r="B9" s="5" t="inlineStr">
        <is>
          <t>María Cárdenas Vargas</t>
        </is>
      </c>
      <c r="C9" s="6" t="inlineStr">
        <is>
          <t>51971887</t>
        </is>
      </c>
      <c r="D9" s="6" t="inlineStr">
        <is>
          <t>F</t>
        </is>
      </c>
      <c r="E9" s="6" t="n">
        <v>58</v>
      </c>
      <c r="F9" s="6" t="inlineStr">
        <is>
          <t>Adulto</t>
        </is>
      </c>
      <c r="G9" s="6" t="inlineStr">
        <is>
          <t>1968-05-27</t>
        </is>
      </c>
      <c r="H9" s="5" t="inlineStr">
        <is>
          <t>ALIANSALUD</t>
        </is>
      </c>
      <c r="I9" s="6" t="inlineStr">
        <is>
          <t>3673560970</t>
        </is>
      </c>
      <c r="J9" s="6" t="inlineStr">
        <is>
          <t>3948038761</t>
        </is>
      </c>
      <c r="K9" s="6" t="inlineStr">
        <is>
          <t>07:42:00</t>
        </is>
      </c>
      <c r="L9" s="5" t="inlineStr">
        <is>
          <t>DOLOR LEVE / MALESTAR GENERAL</t>
        </is>
      </c>
      <c r="M9" s="9" t="inlineStr">
        <is>
          <t>T5 · AZUL</t>
        </is>
      </c>
      <c r="N9" s="6" t="n">
        <v>15</v>
      </c>
      <c r="O9" s="6" t="n">
        <v>56</v>
      </c>
      <c r="P9" s="5" t="inlineStr">
        <is>
          <t>Sofía Torres</t>
        </is>
      </c>
    </row>
    <row r="10">
      <c r="A10" s="4" t="n">
        <v>135</v>
      </c>
      <c r="B10" s="5" t="inlineStr">
        <is>
          <t>Camilo Herrera Castro</t>
        </is>
      </c>
      <c r="C10" s="6" t="inlineStr">
        <is>
          <t>96056511</t>
        </is>
      </c>
      <c r="D10" s="6" t="inlineStr">
        <is>
          <t>M</t>
        </is>
      </c>
      <c r="E10" s="6" t="n">
        <v>87</v>
      </c>
      <c r="F10" s="6" t="inlineStr">
        <is>
          <t>Anciano</t>
        </is>
      </c>
      <c r="G10" s="6" t="inlineStr">
        <is>
          <t>1939-05-27</t>
        </is>
      </c>
      <c r="H10" s="5" t="inlineStr">
        <is>
          <t>COMPENSAR</t>
        </is>
      </c>
      <c r="I10" s="6" t="inlineStr">
        <is>
          <t>3664721835</t>
        </is>
      </c>
      <c r="J10" s="6" t="inlineStr">
        <is>
          <t>3606828198</t>
        </is>
      </c>
      <c r="K10" s="6" t="inlineStr">
        <is>
          <t>07:46:00</t>
        </is>
      </c>
      <c r="L10" s="5" t="inlineStr">
        <is>
          <t>FIEBRE ALTA CON CONVULSIÓN</t>
        </is>
      </c>
      <c r="M10" s="10" t="inlineStr">
        <is>
          <t>T4 · VERDE</t>
        </is>
      </c>
      <c r="N10" s="6" t="n">
        <v>25</v>
      </c>
      <c r="O10" s="6" t="n">
        <v>54</v>
      </c>
      <c r="P10" s="5" t="inlineStr">
        <is>
          <t>Andrés Martínez</t>
        </is>
      </c>
    </row>
    <row r="11">
      <c r="A11" s="4" t="n">
        <v>41</v>
      </c>
      <c r="B11" s="5" t="inlineStr">
        <is>
          <t>Juliana Pardo Castro</t>
        </is>
      </c>
      <c r="C11" s="6" t="inlineStr">
        <is>
          <t>82135212</t>
        </is>
      </c>
      <c r="D11" s="6" t="inlineStr">
        <is>
          <t>F</t>
        </is>
      </c>
      <c r="E11" s="6" t="n">
        <v>43</v>
      </c>
      <c r="F11" s="6" t="inlineStr">
        <is>
          <t>Adulto</t>
        </is>
      </c>
      <c r="G11" s="6" t="inlineStr">
        <is>
          <t>1983-05-27</t>
        </is>
      </c>
      <c r="H11" s="5" t="inlineStr">
        <is>
          <t>SURA</t>
        </is>
      </c>
      <c r="I11" s="6" t="inlineStr">
        <is>
          <t>3958890361</t>
        </is>
      </c>
      <c r="J11" s="6" t="inlineStr">
        <is>
          <t>3127992687</t>
        </is>
      </c>
      <c r="K11" s="6" t="inlineStr">
        <is>
          <t>07:48:00</t>
        </is>
      </c>
      <c r="L11" s="5" t="inlineStr">
        <is>
          <t>HERIDA CON SANGRADO MODERADO</t>
        </is>
      </c>
      <c r="M11" s="10" t="inlineStr">
        <is>
          <t>T4 · VERDE</t>
        </is>
      </c>
      <c r="N11" s="6" t="n">
        <v>20</v>
      </c>
      <c r="O11" s="6" t="n">
        <v>105</v>
      </c>
      <c r="P11" s="5" t="inlineStr">
        <is>
          <t>Felipe Herrera</t>
        </is>
      </c>
    </row>
    <row r="12">
      <c r="A12" s="4" t="n">
        <v>119</v>
      </c>
      <c r="B12" s="5" t="inlineStr">
        <is>
          <t>Camila Moreno Ospina</t>
        </is>
      </c>
      <c r="C12" s="6" t="inlineStr">
        <is>
          <t>84635116</t>
        </is>
      </c>
      <c r="D12" s="6" t="inlineStr">
        <is>
          <t>F</t>
        </is>
      </c>
      <c r="E12" s="6" t="n">
        <v>0</v>
      </c>
      <c r="F12" s="6" t="inlineStr">
        <is>
          <t>Neonato</t>
        </is>
      </c>
      <c r="G12" s="6" t="inlineStr">
        <is>
          <t>2026-05-27</t>
        </is>
      </c>
      <c r="H12" s="5" t="inlineStr">
        <is>
          <t>CAJACOPI</t>
        </is>
      </c>
      <c r="I12" s="6" t="inlineStr">
        <is>
          <t>3197694353</t>
        </is>
      </c>
      <c r="J12" s="6" t="inlineStr">
        <is>
          <t>3249806086</t>
        </is>
      </c>
      <c r="K12" s="6" t="inlineStr">
        <is>
          <t>07:52:00</t>
        </is>
      </c>
      <c r="L12" s="5" t="inlineStr">
        <is>
          <t>PARO CARDIORESPIESTARIO</t>
        </is>
      </c>
      <c r="M12" s="11" t="inlineStr">
        <is>
          <t>T1 · ROJO</t>
        </is>
      </c>
      <c r="N12" s="6" t="n">
        <v>60</v>
      </c>
      <c r="O12" s="6" t="n">
        <v>82</v>
      </c>
      <c r="P12" s="5" t="inlineStr">
        <is>
          <t>Andrés Martínez</t>
        </is>
      </c>
    </row>
    <row r="13">
      <c r="A13" s="4" t="n">
        <v>5</v>
      </c>
      <c r="B13" s="5" t="inlineStr">
        <is>
          <t>Fernanda Ospina Cruz</t>
        </is>
      </c>
      <c r="C13" s="6" t="inlineStr">
        <is>
          <t>30403895</t>
        </is>
      </c>
      <c r="D13" s="6" t="inlineStr">
        <is>
          <t>F</t>
        </is>
      </c>
      <c r="E13" s="6" t="n">
        <v>37</v>
      </c>
      <c r="F13" s="6" t="inlineStr">
        <is>
          <t>Adulto</t>
        </is>
      </c>
      <c r="G13" s="6" t="inlineStr">
        <is>
          <t>1989-05-27</t>
        </is>
      </c>
      <c r="H13" s="5" t="inlineStr">
        <is>
          <t>SALUD TOTAL</t>
        </is>
      </c>
      <c r="I13" s="6" t="inlineStr">
        <is>
          <t>3483317307</t>
        </is>
      </c>
      <c r="J13" s="6" t="inlineStr">
        <is>
          <t>3553302799</t>
        </is>
      </c>
      <c r="K13" s="6" t="inlineStr">
        <is>
          <t>07:56:00</t>
        </is>
      </c>
      <c r="L13" s="5" t="inlineStr">
        <is>
          <t>FIEBRE ALTA CON CONVULSIÓN</t>
        </is>
      </c>
      <c r="M13" s="10" t="inlineStr">
        <is>
          <t>T4 · VERDE</t>
        </is>
      </c>
      <c r="N13" s="6" t="n">
        <v>25</v>
      </c>
      <c r="O13" s="6" t="n">
        <v>83</v>
      </c>
      <c r="P13" s="5" t="inlineStr">
        <is>
          <t>Felipe Herrera</t>
        </is>
      </c>
    </row>
    <row r="14">
      <c r="A14" s="4" t="n">
        <v>12</v>
      </c>
      <c r="B14" s="5" t="inlineStr">
        <is>
          <t>Daniel Gómez López</t>
        </is>
      </c>
      <c r="C14" s="6" t="inlineStr">
        <is>
          <t>23822856</t>
        </is>
      </c>
      <c r="D14" s="6" t="inlineStr">
        <is>
          <t>M</t>
        </is>
      </c>
      <c r="E14" s="6" t="n">
        <v>83</v>
      </c>
      <c r="F14" s="6" t="inlineStr">
        <is>
          <t>Anciano</t>
        </is>
      </c>
      <c r="G14" s="6" t="inlineStr">
        <is>
          <t>1943-05-27</t>
        </is>
      </c>
      <c r="H14" s="5" t="inlineStr">
        <is>
          <t>NUEVA EPS</t>
        </is>
      </c>
      <c r="I14" s="6" t="inlineStr">
        <is>
          <t>3133192132</t>
        </is>
      </c>
      <c r="J14" s="6" t="inlineStr">
        <is>
          <t>3292657205</t>
        </is>
      </c>
      <c r="K14" s="6" t="inlineStr">
        <is>
          <t>07:59:00</t>
        </is>
      </c>
      <c r="L14" s="5" t="inlineStr">
        <is>
          <t>HERIDA CON SANGRADO MODERADO</t>
        </is>
      </c>
      <c r="M14" s="10" t="inlineStr">
        <is>
          <t>T4 · VERDE</t>
        </is>
      </c>
      <c r="N14" s="6" t="n">
        <v>20</v>
      </c>
      <c r="O14" s="6" t="n">
        <v>22</v>
      </c>
      <c r="P14" s="5" t="inlineStr">
        <is>
          <t>Laura Gómez</t>
        </is>
      </c>
    </row>
    <row r="15">
      <c r="A15" s="4" t="n">
        <v>6</v>
      </c>
      <c r="B15" s="5" t="inlineStr">
        <is>
          <t>Valentina García Rodríguez</t>
        </is>
      </c>
      <c r="C15" s="6" t="inlineStr">
        <is>
          <t>13703824</t>
        </is>
      </c>
      <c r="D15" s="6" t="inlineStr">
        <is>
          <t>F</t>
        </is>
      </c>
      <c r="E15" s="6" t="n">
        <v>51</v>
      </c>
      <c r="F15" s="6" t="inlineStr">
        <is>
          <t>Adulto</t>
        </is>
      </c>
      <c r="G15" s="6" t="inlineStr">
        <is>
          <t>1975-05-27</t>
        </is>
      </c>
      <c r="H15" s="5" t="inlineStr">
        <is>
          <t>COOMEVA</t>
        </is>
      </c>
      <c r="I15" s="6" t="inlineStr">
        <is>
          <t>3144600676</t>
        </is>
      </c>
      <c r="J15" s="6" t="inlineStr">
        <is>
          <t>3159055045</t>
        </is>
      </c>
      <c r="K15" s="6" t="inlineStr">
        <is>
          <t>08:00:00</t>
        </is>
      </c>
      <c r="L15" s="5" t="inlineStr">
        <is>
          <t>DOLOR LEVE / MALESTAR GENERAL</t>
        </is>
      </c>
      <c r="M15" s="9" t="inlineStr">
        <is>
          <t>T5 · AZUL</t>
        </is>
      </c>
      <c r="N15" s="6" t="n">
        <v>15</v>
      </c>
      <c r="O15" s="6" t="n">
        <v>91</v>
      </c>
      <c r="P15" s="5" t="inlineStr">
        <is>
          <t>Felipe Herrera</t>
        </is>
      </c>
    </row>
    <row r="16">
      <c r="A16" s="4" t="n">
        <v>112</v>
      </c>
      <c r="B16" s="5" t="inlineStr">
        <is>
          <t>Laura Ríos Cruz</t>
        </is>
      </c>
      <c r="C16" s="6" t="inlineStr">
        <is>
          <t>56501330</t>
        </is>
      </c>
      <c r="D16" s="6" t="inlineStr">
        <is>
          <t>F</t>
        </is>
      </c>
      <c r="E16" s="6" t="n">
        <v>77</v>
      </c>
      <c r="F16" s="6" t="inlineStr">
        <is>
          <t>Anciano</t>
        </is>
      </c>
      <c r="G16" s="6" t="inlineStr">
        <is>
          <t>1949-05-27</t>
        </is>
      </c>
      <c r="H16" s="5" t="inlineStr">
        <is>
          <t>ALIANSALUD</t>
        </is>
      </c>
      <c r="I16" s="6" t="inlineStr">
        <is>
          <t>3732088135</t>
        </is>
      </c>
      <c r="J16" s="6" t="inlineStr">
        <is>
          <t>3496871223</t>
        </is>
      </c>
      <c r="K16" s="6" t="inlineStr">
        <is>
          <t>08:18:00</t>
        </is>
      </c>
      <c r="L16" s="5" t="inlineStr">
        <is>
          <t>DOLOR LEVE / MALESTAR GENERAL</t>
        </is>
      </c>
      <c r="M16" s="9" t="inlineStr">
        <is>
          <t>T5 · AZUL</t>
        </is>
      </c>
      <c r="N16" s="6" t="n">
        <v>15</v>
      </c>
      <c r="O16" s="6" t="n">
        <v>105</v>
      </c>
      <c r="P16" s="5" t="inlineStr">
        <is>
          <t>Carlos Ramírez</t>
        </is>
      </c>
    </row>
    <row r="17">
      <c r="A17" s="4" t="n">
        <v>127</v>
      </c>
      <c r="B17" s="5" t="inlineStr">
        <is>
          <t>Sofía Bernal Morales</t>
        </is>
      </c>
      <c r="C17" s="6" t="inlineStr">
        <is>
          <t>94108499</t>
        </is>
      </c>
      <c r="D17" s="6" t="inlineStr">
        <is>
          <t>F</t>
        </is>
      </c>
      <c r="E17" s="6" t="n">
        <v>72</v>
      </c>
      <c r="F17" s="6" t="inlineStr">
        <is>
          <t>Adulto mayor</t>
        </is>
      </c>
      <c r="G17" s="6" t="inlineStr">
        <is>
          <t>1954-05-27</t>
        </is>
      </c>
      <c r="H17" s="5" t="inlineStr">
        <is>
          <t>MEDIMAS</t>
        </is>
      </c>
      <c r="I17" s="6" t="inlineStr">
        <is>
          <t>3103611394</t>
        </is>
      </c>
      <c r="J17" s="6" t="inlineStr">
        <is>
          <t>3278793111</t>
        </is>
      </c>
      <c r="K17" s="6" t="inlineStr">
        <is>
          <t>08:22:00</t>
        </is>
      </c>
      <c r="L17" s="5" t="inlineStr">
        <is>
          <t>HERIDA CON SANGRADO MODERADO</t>
        </is>
      </c>
      <c r="M17" s="10" t="inlineStr">
        <is>
          <t>T4 · VERDE</t>
        </is>
      </c>
      <c r="N17" s="6" t="n">
        <v>20</v>
      </c>
      <c r="O17" s="6" t="n">
        <v>44</v>
      </c>
      <c r="P17" s="5" t="inlineStr">
        <is>
          <t>Carlos Ramírez</t>
        </is>
      </c>
    </row>
    <row r="18">
      <c r="A18" s="4" t="n">
        <v>8</v>
      </c>
      <c r="B18" s="5" t="inlineStr">
        <is>
          <t>Claudia Morales Torres</t>
        </is>
      </c>
      <c r="C18" s="6" t="inlineStr">
        <is>
          <t>43938375</t>
        </is>
      </c>
      <c r="D18" s="6" t="inlineStr">
        <is>
          <t>F</t>
        </is>
      </c>
      <c r="E18" s="6" t="n">
        <v>62</v>
      </c>
      <c r="F18" s="6" t="inlineStr">
        <is>
          <t>Adulto mayor</t>
        </is>
      </c>
      <c r="G18" s="6" t="inlineStr">
        <is>
          <t>1964-05-27</t>
        </is>
      </c>
      <c r="H18" s="5" t="inlineStr">
        <is>
          <t>NUEVA EPS</t>
        </is>
      </c>
      <c r="I18" s="6" t="inlineStr">
        <is>
          <t>3822725807</t>
        </is>
      </c>
      <c r="J18" s="6" t="inlineStr">
        <is>
          <t>3279835396</t>
        </is>
      </c>
      <c r="K18" s="6" t="inlineStr">
        <is>
          <t>08:25:00</t>
        </is>
      </c>
      <c r="L18" s="5" t="inlineStr">
        <is>
          <t>DIFICULTAD RESPIRATORIA SEVERA</t>
        </is>
      </c>
      <c r="M18" s="8" t="inlineStr">
        <is>
          <t>T2 · NARANJA</t>
        </is>
      </c>
      <c r="N18" s="6" t="n">
        <v>45</v>
      </c>
      <c r="O18" s="6" t="n">
        <v>74</v>
      </c>
      <c r="P18" s="5" t="inlineStr">
        <is>
          <t>Felipe Herrera</t>
        </is>
      </c>
    </row>
    <row r="19">
      <c r="A19" s="4" t="n">
        <v>64</v>
      </c>
      <c r="B19" s="5" t="inlineStr">
        <is>
          <t>Carlos Díaz Jiménez</t>
        </is>
      </c>
      <c r="C19" s="6" t="inlineStr">
        <is>
          <t>48997839</t>
        </is>
      </c>
      <c r="D19" s="6" t="inlineStr">
        <is>
          <t>M</t>
        </is>
      </c>
      <c r="E19" s="6" t="n">
        <v>59</v>
      </c>
      <c r="F19" s="6" t="inlineStr">
        <is>
          <t>Adulto</t>
        </is>
      </c>
      <c r="G19" s="6" t="inlineStr">
        <is>
          <t>1967-05-27</t>
        </is>
      </c>
      <c r="H19" s="5" t="inlineStr">
        <is>
          <t>COOMEVA</t>
        </is>
      </c>
      <c r="I19" s="6" t="inlineStr">
        <is>
          <t>3199847311</t>
        </is>
      </c>
      <c r="J19" s="6" t="inlineStr">
        <is>
          <t>3909458471</t>
        </is>
      </c>
      <c r="K19" s="6" t="inlineStr">
        <is>
          <t>08:25:00</t>
        </is>
      </c>
      <c r="L19" s="5" t="inlineStr">
        <is>
          <t>HERIDA CON SANGRADO MODERADO</t>
        </is>
      </c>
      <c r="M19" s="10" t="inlineStr">
        <is>
          <t>T4 · VERDE</t>
        </is>
      </c>
      <c r="N19" s="6" t="n">
        <v>20</v>
      </c>
      <c r="O19" s="6" t="n">
        <v>102</v>
      </c>
      <c r="P19" s="5" t="inlineStr">
        <is>
          <t>Andrés Martínez</t>
        </is>
      </c>
    </row>
    <row r="20">
      <c r="A20" s="4" t="n">
        <v>93</v>
      </c>
      <c r="B20" s="5" t="inlineStr">
        <is>
          <t>Nicolás López Herrera</t>
        </is>
      </c>
      <c r="C20" s="6" t="inlineStr">
        <is>
          <t>79732194</t>
        </is>
      </c>
      <c r="D20" s="6" t="inlineStr">
        <is>
          <t>M</t>
        </is>
      </c>
      <c r="E20" s="6" t="n">
        <v>2</v>
      </c>
      <c r="F20" s="6" t="inlineStr">
        <is>
          <t>Infante</t>
        </is>
      </c>
      <c r="G20" s="6" t="inlineStr">
        <is>
          <t>2024-05-27</t>
        </is>
      </c>
      <c r="H20" s="5" t="inlineStr">
        <is>
          <t>FAMISANAR</t>
        </is>
      </c>
      <c r="I20" s="6" t="inlineStr">
        <is>
          <t>3729275344</t>
        </is>
      </c>
      <c r="J20" s="6" t="inlineStr">
        <is>
          <t>3823175907</t>
        </is>
      </c>
      <c r="K20" s="6" t="inlineStr">
        <is>
          <t>08:31:00</t>
        </is>
      </c>
      <c r="L20" s="5" t="inlineStr">
        <is>
          <t>FRACTURA CON COMPROMISO VASCULAR</t>
        </is>
      </c>
      <c r="M20" s="7" t="inlineStr">
        <is>
          <t>T3 · AMARILLO</t>
        </is>
      </c>
      <c r="N20" s="6" t="n">
        <v>35</v>
      </c>
      <c r="O20" s="6" t="n">
        <v>69</v>
      </c>
      <c r="P20" s="5" t="inlineStr">
        <is>
          <t>Felipe Herrera</t>
        </is>
      </c>
    </row>
    <row r="21">
      <c r="A21" s="4" t="n">
        <v>65</v>
      </c>
      <c r="B21" s="5" t="inlineStr">
        <is>
          <t>Valentina Bernal Díaz</t>
        </is>
      </c>
      <c r="C21" s="6" t="inlineStr">
        <is>
          <t>52799871</t>
        </is>
      </c>
      <c r="D21" s="6" t="inlineStr">
        <is>
          <t>F</t>
        </is>
      </c>
      <c r="E21" s="6" t="n">
        <v>75</v>
      </c>
      <c r="F21" s="6" t="inlineStr">
        <is>
          <t>Anciano</t>
        </is>
      </c>
      <c r="G21" s="6" t="inlineStr">
        <is>
          <t>1951-05-27</t>
        </is>
      </c>
      <c r="H21" s="5" t="inlineStr">
        <is>
          <t>COMPENSAR</t>
        </is>
      </c>
      <c r="I21" s="6" t="inlineStr">
        <is>
          <t>3971060266</t>
        </is>
      </c>
      <c r="J21" s="6" t="inlineStr">
        <is>
          <t>3886166563</t>
        </is>
      </c>
      <c r="K21" s="6" t="inlineStr">
        <is>
          <t>08:41:00</t>
        </is>
      </c>
      <c r="L21" s="5" t="inlineStr">
        <is>
          <t>DOLOR ABDOMINAL AGUDO</t>
        </is>
      </c>
      <c r="M21" s="7" t="inlineStr">
        <is>
          <t>T3 · AMARILLO</t>
        </is>
      </c>
      <c r="N21" s="6" t="n">
        <v>30</v>
      </c>
      <c r="O21" s="6" t="n">
        <v>93</v>
      </c>
      <c r="P21" s="5" t="inlineStr">
        <is>
          <t>Laura Gómez</t>
        </is>
      </c>
    </row>
    <row r="22">
      <c r="A22" s="4" t="n">
        <v>104</v>
      </c>
      <c r="B22" s="5" t="inlineStr">
        <is>
          <t>Laura Gómez Alvarado</t>
        </is>
      </c>
      <c r="C22" s="6" t="inlineStr">
        <is>
          <t>54633473</t>
        </is>
      </c>
      <c r="D22" s="6" t="inlineStr">
        <is>
          <t>F</t>
        </is>
      </c>
      <c r="E22" s="6" t="n">
        <v>65</v>
      </c>
      <c r="F22" s="6" t="inlineStr">
        <is>
          <t>Adulto mayor</t>
        </is>
      </c>
      <c r="G22" s="6" t="inlineStr">
        <is>
          <t>1961-05-27</t>
        </is>
      </c>
      <c r="H22" s="5" t="inlineStr">
        <is>
          <t>CAJACOPI</t>
        </is>
      </c>
      <c r="I22" s="6" t="inlineStr">
        <is>
          <t>3682531685</t>
        </is>
      </c>
      <c r="J22" s="6" t="inlineStr">
        <is>
          <t>3731863439</t>
        </is>
      </c>
      <c r="K22" s="6" t="inlineStr">
        <is>
          <t>08:41:00</t>
        </is>
      </c>
      <c r="L22" s="5" t="inlineStr">
        <is>
          <t>DOLOR ABDOMINAL AGUDO</t>
        </is>
      </c>
      <c r="M22" s="7" t="inlineStr">
        <is>
          <t>T3 · AMARILLO</t>
        </is>
      </c>
      <c r="N22" s="6" t="n">
        <v>30</v>
      </c>
      <c r="O22" s="6" t="n">
        <v>61</v>
      </c>
      <c r="P22" s="5" t="inlineStr">
        <is>
          <t>Carlos Ramírez</t>
        </is>
      </c>
    </row>
    <row r="23">
      <c r="A23" s="4" t="n">
        <v>67</v>
      </c>
      <c r="B23" s="5" t="inlineStr">
        <is>
          <t>Alejandra Herrera Moreno</t>
        </is>
      </c>
      <c r="C23" s="6" t="inlineStr">
        <is>
          <t>58353388</t>
        </is>
      </c>
      <c r="D23" s="6" t="inlineStr">
        <is>
          <t>F</t>
        </is>
      </c>
      <c r="E23" s="6" t="n">
        <v>22</v>
      </c>
      <c r="F23" s="6" t="inlineStr">
        <is>
          <t>Adulto</t>
        </is>
      </c>
      <c r="G23" s="6" t="inlineStr">
        <is>
          <t>2004-05-27</t>
        </is>
      </c>
      <c r="H23" s="5" t="inlineStr">
        <is>
          <t>CAJACOPI</t>
        </is>
      </c>
      <c r="I23" s="6" t="inlineStr">
        <is>
          <t>3391456631</t>
        </is>
      </c>
      <c r="J23" s="6" t="inlineStr">
        <is>
          <t>3685350132</t>
        </is>
      </c>
      <c r="K23" s="6" t="inlineStr">
        <is>
          <t>08:42:00</t>
        </is>
      </c>
      <c r="L23" s="5" t="inlineStr">
        <is>
          <t>DOLOR LEVE / MALESTAR GENERAL</t>
        </is>
      </c>
      <c r="M23" s="9" t="inlineStr">
        <is>
          <t>T5 · AZUL</t>
        </is>
      </c>
      <c r="N23" s="6" t="n">
        <v>15</v>
      </c>
      <c r="O23" s="6" t="n">
        <v>103</v>
      </c>
      <c r="P23" s="5" t="inlineStr">
        <is>
          <t>Felipe Herrera</t>
        </is>
      </c>
    </row>
    <row r="24">
      <c r="A24" s="4" t="n">
        <v>129</v>
      </c>
      <c r="B24" s="5" t="inlineStr">
        <is>
          <t>Daniel Ríos Sánchez</t>
        </is>
      </c>
      <c r="C24" s="6" t="inlineStr">
        <is>
          <t>44176533</t>
        </is>
      </c>
      <c r="D24" s="6" t="inlineStr">
        <is>
          <t>M</t>
        </is>
      </c>
      <c r="E24" s="6" t="n">
        <v>85</v>
      </c>
      <c r="F24" s="6" t="inlineStr">
        <is>
          <t>Anciano</t>
        </is>
      </c>
      <c r="G24" s="6" t="inlineStr">
        <is>
          <t>1941-05-27</t>
        </is>
      </c>
      <c r="H24" s="5" t="inlineStr">
        <is>
          <t>SANITAS</t>
        </is>
      </c>
      <c r="I24" s="6" t="inlineStr">
        <is>
          <t>3997454946</t>
        </is>
      </c>
      <c r="J24" s="6" t="inlineStr">
        <is>
          <t>3569814152</t>
        </is>
      </c>
      <c r="K24" s="6" t="inlineStr">
        <is>
          <t>08:42:00</t>
        </is>
      </c>
      <c r="L24" s="5" t="inlineStr">
        <is>
          <t>FIEBRE ALTA CON CONVULSIÓN</t>
        </is>
      </c>
      <c r="M24" s="10" t="inlineStr">
        <is>
          <t>T4 · VERDE</t>
        </is>
      </c>
      <c r="N24" s="6" t="n">
        <v>25</v>
      </c>
      <c r="O24" s="6" t="n">
        <v>26</v>
      </c>
      <c r="P24" s="5" t="inlineStr">
        <is>
          <t>Felipe Herrera</t>
        </is>
      </c>
    </row>
    <row r="25">
      <c r="A25" s="4" t="n">
        <v>59</v>
      </c>
      <c r="B25" s="5" t="inlineStr">
        <is>
          <t>María Torres Rodríguez</t>
        </is>
      </c>
      <c r="C25" s="6" t="inlineStr">
        <is>
          <t>60171838</t>
        </is>
      </c>
      <c r="D25" s="6" t="inlineStr">
        <is>
          <t>F</t>
        </is>
      </c>
      <c r="E25" s="6" t="n">
        <v>53</v>
      </c>
      <c r="F25" s="6" t="inlineStr">
        <is>
          <t>Adulto</t>
        </is>
      </c>
      <c r="G25" s="6" t="inlineStr">
        <is>
          <t>1973-05-27</t>
        </is>
      </c>
      <c r="H25" s="5" t="inlineStr">
        <is>
          <t>FAMISANAR</t>
        </is>
      </c>
      <c r="I25" s="6" t="inlineStr">
        <is>
          <t>3698647092</t>
        </is>
      </c>
      <c r="J25" s="6" t="inlineStr">
        <is>
          <t>3883375396</t>
        </is>
      </c>
      <c r="K25" s="6" t="inlineStr">
        <is>
          <t>08:43:00</t>
        </is>
      </c>
      <c r="L25" s="5" t="inlineStr">
        <is>
          <t>DOLOR ABDOMINAL AGUDO</t>
        </is>
      </c>
      <c r="M25" s="7" t="inlineStr">
        <is>
          <t>T3 · AMARILLO</t>
        </is>
      </c>
      <c r="N25" s="6" t="n">
        <v>30</v>
      </c>
      <c r="O25" s="6" t="n">
        <v>39</v>
      </c>
      <c r="P25" s="5" t="inlineStr">
        <is>
          <t>Sofía Torres</t>
        </is>
      </c>
    </row>
    <row r="26">
      <c r="A26" s="4" t="n">
        <v>114</v>
      </c>
      <c r="B26" s="5" t="inlineStr">
        <is>
          <t>Daniel Sánchez Ríos</t>
        </is>
      </c>
      <c r="C26" s="6" t="inlineStr">
        <is>
          <t>17229313</t>
        </is>
      </c>
      <c r="D26" s="6" t="inlineStr">
        <is>
          <t>M</t>
        </is>
      </c>
      <c r="E26" s="6" t="n">
        <v>4</v>
      </c>
      <c r="F26" s="6" t="inlineStr">
        <is>
          <t>Infante</t>
        </is>
      </c>
      <c r="G26" s="6" t="inlineStr">
        <is>
          <t>2022-05-27</t>
        </is>
      </c>
      <c r="H26" s="5" t="inlineStr">
        <is>
          <t>NUEVA EPS</t>
        </is>
      </c>
      <c r="I26" s="6" t="inlineStr">
        <is>
          <t>3965200464</t>
        </is>
      </c>
      <c r="J26" s="6" t="inlineStr">
        <is>
          <t>3649786561</t>
        </is>
      </c>
      <c r="K26" s="6" t="inlineStr">
        <is>
          <t>08:45:00</t>
        </is>
      </c>
      <c r="L26" s="5" t="inlineStr">
        <is>
          <t>HERIDA CON SANGRADO MODERADO</t>
        </is>
      </c>
      <c r="M26" s="10" t="inlineStr">
        <is>
          <t>T4 · VERDE</t>
        </is>
      </c>
      <c r="N26" s="6" t="n">
        <v>20</v>
      </c>
      <c r="O26" s="6" t="n">
        <v>24</v>
      </c>
      <c r="P26" s="5" t="inlineStr">
        <is>
          <t>Andrés Martínez</t>
        </is>
      </c>
    </row>
    <row r="27">
      <c r="A27" s="4" t="n">
        <v>145</v>
      </c>
      <c r="B27" s="5" t="inlineStr">
        <is>
          <t>Alejandro Vargas Muñoz</t>
        </is>
      </c>
      <c r="C27" s="6" t="inlineStr">
        <is>
          <t>33470544</t>
        </is>
      </c>
      <c r="D27" s="6" t="inlineStr">
        <is>
          <t>M</t>
        </is>
      </c>
      <c r="E27" s="6" t="n">
        <v>82</v>
      </c>
      <c r="F27" s="6" t="inlineStr">
        <is>
          <t>Anciano</t>
        </is>
      </c>
      <c r="G27" s="6" t="inlineStr">
        <is>
          <t>1944-05-27</t>
        </is>
      </c>
      <c r="H27" s="5" t="inlineStr">
        <is>
          <t>CAJACOPI</t>
        </is>
      </c>
      <c r="I27" s="6" t="inlineStr">
        <is>
          <t>3545419751</t>
        </is>
      </c>
      <c r="J27" s="6" t="inlineStr">
        <is>
          <t>3386422390</t>
        </is>
      </c>
      <c r="K27" s="6" t="inlineStr">
        <is>
          <t>09:03:00</t>
        </is>
      </c>
      <c r="L27" s="5" t="inlineStr">
        <is>
          <t>CONSULTA MENOR (GRIPE, TOS)</t>
        </is>
      </c>
      <c r="M27" s="9" t="inlineStr">
        <is>
          <t>T5 · AZUL</t>
        </is>
      </c>
      <c r="N27" s="6" t="n">
        <v>10</v>
      </c>
      <c r="O27" s="6" t="n">
        <v>73</v>
      </c>
      <c r="P27" s="5" t="inlineStr">
        <is>
          <t>Laura Gómez</t>
        </is>
      </c>
    </row>
    <row r="28">
      <c r="A28" s="4" t="n">
        <v>139</v>
      </c>
      <c r="B28" s="5" t="inlineStr">
        <is>
          <t>Mariana Ríos Cárdenas</t>
        </is>
      </c>
      <c r="C28" s="6" t="inlineStr">
        <is>
          <t>61772260</t>
        </is>
      </c>
      <c r="D28" s="6" t="inlineStr">
        <is>
          <t>F</t>
        </is>
      </c>
      <c r="E28" s="6" t="n">
        <v>61</v>
      </c>
      <c r="F28" s="6" t="inlineStr">
        <is>
          <t>Adulto mayor</t>
        </is>
      </c>
      <c r="G28" s="6" t="inlineStr">
        <is>
          <t>1965-05-27</t>
        </is>
      </c>
      <c r="H28" s="5" t="inlineStr">
        <is>
          <t>MEDIMAS</t>
        </is>
      </c>
      <c r="I28" s="6" t="inlineStr">
        <is>
          <t>3518689374</t>
        </is>
      </c>
      <c r="J28" s="6" t="inlineStr">
        <is>
          <t>3695993002</t>
        </is>
      </c>
      <c r="K28" s="6" t="inlineStr">
        <is>
          <t>09:05:00</t>
        </is>
      </c>
      <c r="L28" s="5" t="inlineStr">
        <is>
          <t>POLITRAUMATISMO GRAVE</t>
        </is>
      </c>
      <c r="M28" s="11" t="inlineStr">
        <is>
          <t>T1 · ROJO</t>
        </is>
      </c>
      <c r="N28" s="6" t="n">
        <v>90</v>
      </c>
      <c r="O28" s="6" t="n">
        <v>11</v>
      </c>
      <c r="P28" s="5" t="inlineStr">
        <is>
          <t>Laura Gómez</t>
        </is>
      </c>
    </row>
    <row r="29">
      <c r="A29" s="4" t="n">
        <v>37</v>
      </c>
      <c r="B29" s="5" t="inlineStr">
        <is>
          <t>Juliana Jiménez Reyes</t>
        </is>
      </c>
      <c r="C29" s="6" t="inlineStr">
        <is>
          <t>73154745</t>
        </is>
      </c>
      <c r="D29" s="6" t="inlineStr">
        <is>
          <t>F</t>
        </is>
      </c>
      <c r="E29" s="6" t="n">
        <v>3</v>
      </c>
      <c r="F29" s="6" t="inlineStr">
        <is>
          <t>Infante</t>
        </is>
      </c>
      <c r="G29" s="6" t="inlineStr">
        <is>
          <t>2023-05-27</t>
        </is>
      </c>
      <c r="H29" s="5" t="inlineStr">
        <is>
          <t>ALIANSALUD</t>
        </is>
      </c>
      <c r="I29" s="6" t="inlineStr">
        <is>
          <t>3542217505</t>
        </is>
      </c>
      <c r="J29" s="6" t="inlineStr">
        <is>
          <t>3689143167</t>
        </is>
      </c>
      <c r="K29" s="6" t="inlineStr">
        <is>
          <t>09:18:00</t>
        </is>
      </c>
      <c r="L29" s="5" t="inlineStr">
        <is>
          <t>DOLOR ABDOMINAL AGUDO</t>
        </is>
      </c>
      <c r="M29" s="7" t="inlineStr">
        <is>
          <t>T3 · AMARILLO</t>
        </is>
      </c>
      <c r="N29" s="6" t="n">
        <v>30</v>
      </c>
      <c r="O29" s="6" t="n">
        <v>46</v>
      </c>
      <c r="P29" s="5" t="inlineStr">
        <is>
          <t>Laura Gómez</t>
        </is>
      </c>
    </row>
    <row r="30">
      <c r="A30" s="4" t="n">
        <v>124</v>
      </c>
      <c r="B30" s="5" t="inlineStr">
        <is>
          <t>Paula Pardo Torres</t>
        </is>
      </c>
      <c r="C30" s="6" t="inlineStr">
        <is>
          <t>92299444</t>
        </is>
      </c>
      <c r="D30" s="6" t="inlineStr">
        <is>
          <t>F</t>
        </is>
      </c>
      <c r="E30" s="6" t="n">
        <v>22</v>
      </c>
      <c r="F30" s="6" t="inlineStr">
        <is>
          <t>Adulto</t>
        </is>
      </c>
      <c r="G30" s="6" t="inlineStr">
        <is>
          <t>2004-05-27</t>
        </is>
      </c>
      <c r="H30" s="5" t="inlineStr">
        <is>
          <t>NUEVA EPS</t>
        </is>
      </c>
      <c r="I30" s="6" t="inlineStr">
        <is>
          <t>3192867371</t>
        </is>
      </c>
      <c r="J30" s="6" t="inlineStr">
        <is>
          <t>3629456691</t>
        </is>
      </c>
      <c r="K30" s="6" t="inlineStr">
        <is>
          <t>09:23:00</t>
        </is>
      </c>
      <c r="L30" s="5" t="inlineStr">
        <is>
          <t>HERIDA CON SANGRADO MODERADO</t>
        </is>
      </c>
      <c r="M30" s="10" t="inlineStr">
        <is>
          <t>T4 · VERDE</t>
        </is>
      </c>
      <c r="N30" s="6" t="n">
        <v>20</v>
      </c>
      <c r="O30" s="6" t="n">
        <v>64</v>
      </c>
      <c r="P30" s="5" t="inlineStr">
        <is>
          <t>Andrés Martínez</t>
        </is>
      </c>
    </row>
    <row r="31">
      <c r="A31" s="4" t="n">
        <v>24</v>
      </c>
      <c r="B31" s="5" t="inlineStr">
        <is>
          <t>Felipe Díaz Gómez</t>
        </is>
      </c>
      <c r="C31" s="6" t="inlineStr">
        <is>
          <t>54878840</t>
        </is>
      </c>
      <c r="D31" s="6" t="inlineStr">
        <is>
          <t>M</t>
        </is>
      </c>
      <c r="E31" s="6" t="n">
        <v>0</v>
      </c>
      <c r="F31" s="6" t="inlineStr">
        <is>
          <t>Neonato</t>
        </is>
      </c>
      <c r="G31" s="6" t="inlineStr">
        <is>
          <t>2026-05-27</t>
        </is>
      </c>
      <c r="H31" s="5" t="inlineStr">
        <is>
          <t>SURA</t>
        </is>
      </c>
      <c r="I31" s="6" t="inlineStr">
        <is>
          <t>3348357746</t>
        </is>
      </c>
      <c r="J31" s="6" t="inlineStr">
        <is>
          <t>3309331230</t>
        </is>
      </c>
      <c r="K31" s="6" t="inlineStr">
        <is>
          <t>09:32:00</t>
        </is>
      </c>
      <c r="L31" s="5" t="inlineStr">
        <is>
          <t>HERIDA CON SANGRADO MODERADO</t>
        </is>
      </c>
      <c r="M31" s="10" t="inlineStr">
        <is>
          <t>T4 · VERDE</t>
        </is>
      </c>
      <c r="N31" s="6" t="n">
        <v>20</v>
      </c>
      <c r="O31" s="6" t="n">
        <v>19</v>
      </c>
      <c r="P31" s="5" t="inlineStr">
        <is>
          <t>Laura Gómez</t>
        </is>
      </c>
    </row>
    <row r="32">
      <c r="A32" s="4" t="n">
        <v>3</v>
      </c>
      <c r="B32" s="5" t="inlineStr">
        <is>
          <t>María Torres Muñoz</t>
        </is>
      </c>
      <c r="C32" s="6" t="inlineStr">
        <is>
          <t>22807154</t>
        </is>
      </c>
      <c r="D32" s="6" t="inlineStr">
        <is>
          <t>F</t>
        </is>
      </c>
      <c r="E32" s="6" t="n">
        <v>66</v>
      </c>
      <c r="F32" s="6" t="inlineStr">
        <is>
          <t>Adulto mayor</t>
        </is>
      </c>
      <c r="G32" s="6" t="inlineStr">
        <is>
          <t>1960-05-27</t>
        </is>
      </c>
      <c r="H32" s="5" t="inlineStr">
        <is>
          <t>SURA</t>
        </is>
      </c>
      <c r="I32" s="6" t="inlineStr">
        <is>
          <t>3938797052</t>
        </is>
      </c>
      <c r="J32" s="6" t="inlineStr">
        <is>
          <t>3229365419</t>
        </is>
      </c>
      <c r="K32" s="6" t="inlineStr">
        <is>
          <t>09:35:00</t>
        </is>
      </c>
      <c r="L32" s="5" t="inlineStr">
        <is>
          <t>POLITRAUMATISMO GRAVE</t>
        </is>
      </c>
      <c r="M32" s="11" t="inlineStr">
        <is>
          <t>T1 · ROJO</t>
        </is>
      </c>
      <c r="N32" s="6" t="n">
        <v>90</v>
      </c>
      <c r="O32" s="6" t="n">
        <v>20</v>
      </c>
      <c r="P32" s="5" t="inlineStr">
        <is>
          <t>Carlos Ramírez</t>
        </is>
      </c>
    </row>
    <row r="33">
      <c r="A33" s="4" t="n">
        <v>31</v>
      </c>
      <c r="B33" s="5" t="inlineStr">
        <is>
          <t>Juliana Jiménez Cárdenas</t>
        </is>
      </c>
      <c r="C33" s="6" t="inlineStr">
        <is>
          <t>22900799</t>
        </is>
      </c>
      <c r="D33" s="6" t="inlineStr">
        <is>
          <t>F</t>
        </is>
      </c>
      <c r="E33" s="6" t="n">
        <v>68</v>
      </c>
      <c r="F33" s="6" t="inlineStr">
        <is>
          <t>Adulto mayor</t>
        </is>
      </c>
      <c r="G33" s="6" t="inlineStr">
        <is>
          <t>1958-05-27</t>
        </is>
      </c>
      <c r="H33" s="5" t="inlineStr">
        <is>
          <t>ALIANSALUD</t>
        </is>
      </c>
      <c r="I33" s="6" t="inlineStr">
        <is>
          <t>3525967516</t>
        </is>
      </c>
      <c r="J33" s="6" t="inlineStr">
        <is>
          <t>3308047773</t>
        </is>
      </c>
      <c r="K33" s="6" t="inlineStr">
        <is>
          <t>09:41:00</t>
        </is>
      </c>
      <c r="L33" s="5" t="inlineStr">
        <is>
          <t>DOLOR ABDOMINAL AGUDO</t>
        </is>
      </c>
      <c r="M33" s="7" t="inlineStr">
        <is>
          <t>T3 · AMARILLO</t>
        </is>
      </c>
      <c r="N33" s="6" t="n">
        <v>30</v>
      </c>
      <c r="O33" s="6" t="n">
        <v>5</v>
      </c>
      <c r="P33" s="5" t="inlineStr">
        <is>
          <t>Carlos Ramírez</t>
        </is>
      </c>
    </row>
    <row r="34">
      <c r="A34" s="4" t="n">
        <v>35</v>
      </c>
      <c r="B34" s="5" t="inlineStr">
        <is>
          <t>Juan Medina Sánchez</t>
        </is>
      </c>
      <c r="C34" s="6" t="inlineStr">
        <is>
          <t>70864925</t>
        </is>
      </c>
      <c r="D34" s="6" t="inlineStr">
        <is>
          <t>M</t>
        </is>
      </c>
      <c r="E34" s="6" t="n">
        <v>78</v>
      </c>
      <c r="F34" s="6" t="inlineStr">
        <is>
          <t>Anciano</t>
        </is>
      </c>
      <c r="G34" s="6" t="inlineStr">
        <is>
          <t>1948-05-27</t>
        </is>
      </c>
      <c r="H34" s="5" t="inlineStr">
        <is>
          <t>SANITAS</t>
        </is>
      </c>
      <c r="I34" s="6" t="inlineStr">
        <is>
          <t>3671199056</t>
        </is>
      </c>
      <c r="J34" s="6" t="inlineStr">
        <is>
          <t>3572456072</t>
        </is>
      </c>
      <c r="K34" s="6" t="inlineStr">
        <is>
          <t>09:42:00</t>
        </is>
      </c>
      <c r="L34" s="5" t="inlineStr">
        <is>
          <t>POLITRAUMATISMO GRAVE</t>
        </is>
      </c>
      <c r="M34" s="11" t="inlineStr">
        <is>
          <t>T1 · ROJO</t>
        </is>
      </c>
      <c r="N34" s="6" t="n">
        <v>90</v>
      </c>
      <c r="O34" s="6" t="n">
        <v>69</v>
      </c>
      <c r="P34" s="5" t="inlineStr">
        <is>
          <t>Carlos Ramírez</t>
        </is>
      </c>
    </row>
    <row r="35">
      <c r="A35" s="4" t="n">
        <v>44</v>
      </c>
      <c r="B35" s="5" t="inlineStr">
        <is>
          <t>Andrés Medina Cárdenas</t>
        </is>
      </c>
      <c r="C35" s="6" t="inlineStr">
        <is>
          <t>89023742</t>
        </is>
      </c>
      <c r="D35" s="6" t="inlineStr">
        <is>
          <t>M</t>
        </is>
      </c>
      <c r="E35" s="6" t="n">
        <v>20</v>
      </c>
      <c r="F35" s="6" t="inlineStr">
        <is>
          <t>Adulto</t>
        </is>
      </c>
      <c r="G35" s="6" t="inlineStr">
        <is>
          <t>2006-05-27</t>
        </is>
      </c>
      <c r="H35" s="5" t="inlineStr">
        <is>
          <t>COMPENSAR</t>
        </is>
      </c>
      <c r="I35" s="6" t="inlineStr">
        <is>
          <t>3849412691</t>
        </is>
      </c>
      <c r="J35" s="6" t="inlineStr">
        <is>
          <t>3166967757</t>
        </is>
      </c>
      <c r="K35" s="6" t="inlineStr">
        <is>
          <t>09:51:00</t>
        </is>
      </c>
      <c r="L35" s="5" t="inlineStr">
        <is>
          <t>CONSULTA MENOR (GRIPE, TOS)</t>
        </is>
      </c>
      <c r="M35" s="9" t="inlineStr">
        <is>
          <t>T5 · AZUL</t>
        </is>
      </c>
      <c r="N35" s="6" t="n">
        <v>10</v>
      </c>
      <c r="O35" s="6" t="n">
        <v>84</v>
      </c>
      <c r="P35" s="5" t="inlineStr">
        <is>
          <t>Sofía Torres</t>
        </is>
      </c>
    </row>
    <row r="36">
      <c r="A36" s="4" t="n">
        <v>19</v>
      </c>
      <c r="B36" s="5" t="inlineStr">
        <is>
          <t>Alejandra Gómez Castro</t>
        </is>
      </c>
      <c r="C36" s="6" t="inlineStr">
        <is>
          <t>65645228</t>
        </is>
      </c>
      <c r="D36" s="6" t="inlineStr">
        <is>
          <t>F</t>
        </is>
      </c>
      <c r="E36" s="6" t="n">
        <v>85</v>
      </c>
      <c r="F36" s="6" t="inlineStr">
        <is>
          <t>Anciano</t>
        </is>
      </c>
      <c r="G36" s="6" t="inlineStr">
        <is>
          <t>1941-05-27</t>
        </is>
      </c>
      <c r="H36" s="5" t="inlineStr">
        <is>
          <t>FAMISANAR</t>
        </is>
      </c>
      <c r="I36" s="6" t="inlineStr">
        <is>
          <t>3951894722</t>
        </is>
      </c>
      <c r="J36" s="6" t="inlineStr">
        <is>
          <t>3811065054</t>
        </is>
      </c>
      <c r="K36" s="6" t="inlineStr">
        <is>
          <t>09:59:00</t>
        </is>
      </c>
      <c r="L36" s="5" t="inlineStr">
        <is>
          <t>FRACTURA CON COMPROMISO VASCULAR</t>
        </is>
      </c>
      <c r="M36" s="7" t="inlineStr">
        <is>
          <t>T3 · AMARILLO</t>
        </is>
      </c>
      <c r="N36" s="6" t="n">
        <v>35</v>
      </c>
      <c r="O36" s="6" t="n">
        <v>4</v>
      </c>
      <c r="P36" s="5" t="inlineStr">
        <is>
          <t>Sofía Torres</t>
        </is>
      </c>
    </row>
    <row r="37">
      <c r="A37" s="4" t="n">
        <v>120</v>
      </c>
      <c r="B37" s="5" t="inlineStr">
        <is>
          <t>Alejandra Moreno Martínez</t>
        </is>
      </c>
      <c r="C37" s="6" t="inlineStr">
        <is>
          <t>51478633</t>
        </is>
      </c>
      <c r="D37" s="6" t="inlineStr">
        <is>
          <t>F</t>
        </is>
      </c>
      <c r="E37" s="6" t="n">
        <v>54</v>
      </c>
      <c r="F37" s="6" t="inlineStr">
        <is>
          <t>Adulto</t>
        </is>
      </c>
      <c r="G37" s="6" t="inlineStr">
        <is>
          <t>1972-05-27</t>
        </is>
      </c>
      <c r="H37" s="5" t="inlineStr">
        <is>
          <t>FAMISANAR</t>
        </is>
      </c>
      <c r="I37" s="6" t="inlineStr">
        <is>
          <t>3751683414</t>
        </is>
      </c>
      <c r="J37" s="6" t="inlineStr">
        <is>
          <t>3245484567</t>
        </is>
      </c>
      <c r="K37" s="6" t="inlineStr">
        <is>
          <t>09:59:00</t>
        </is>
      </c>
      <c r="L37" s="5" t="inlineStr">
        <is>
          <t>HERIDA CON SANGRADO MODERADO</t>
        </is>
      </c>
      <c r="M37" s="10" t="inlineStr">
        <is>
          <t>T4 · VERDE</t>
        </is>
      </c>
      <c r="N37" s="6" t="n">
        <v>20</v>
      </c>
      <c r="O37" s="6" t="n">
        <v>95</v>
      </c>
      <c r="P37" s="5" t="inlineStr">
        <is>
          <t>Felipe Herrera</t>
        </is>
      </c>
    </row>
    <row r="38">
      <c r="A38" s="4" t="n">
        <v>1</v>
      </c>
      <c r="B38" s="5" t="inlineStr">
        <is>
          <t>Sebastián Sánchez Ríos</t>
        </is>
      </c>
      <c r="C38" s="6" t="inlineStr">
        <is>
          <t>22599150</t>
        </is>
      </c>
      <c r="D38" s="6" t="inlineStr">
        <is>
          <t>M</t>
        </is>
      </c>
      <c r="E38" s="6" t="n">
        <v>62</v>
      </c>
      <c r="F38" s="6" t="inlineStr">
        <is>
          <t>Adulto mayor</t>
        </is>
      </c>
      <c r="G38" s="6" t="inlineStr">
        <is>
          <t>1964-05-27</t>
        </is>
      </c>
      <c r="H38" s="5" t="inlineStr">
        <is>
          <t>FAMISANAR</t>
        </is>
      </c>
      <c r="I38" s="6" t="inlineStr">
        <is>
          <t>3833548803</t>
        </is>
      </c>
      <c r="J38" s="6" t="inlineStr">
        <is>
          <t>3844703969</t>
        </is>
      </c>
      <c r="K38" s="6" t="inlineStr">
        <is>
          <t>10:08:00</t>
        </is>
      </c>
      <c r="L38" s="5" t="inlineStr">
        <is>
          <t>FRACTURA CON COMPROMISO VASCULAR</t>
        </is>
      </c>
      <c r="M38" s="7" t="inlineStr">
        <is>
          <t>T3 · AMARILLO</t>
        </is>
      </c>
      <c r="N38" s="6" t="n">
        <v>35</v>
      </c>
      <c r="O38" s="6" t="n">
        <v>76</v>
      </c>
      <c r="P38" s="5" t="inlineStr">
        <is>
          <t>Felipe Herrera</t>
        </is>
      </c>
    </row>
    <row r="39">
      <c r="A39" s="4" t="n">
        <v>131</v>
      </c>
      <c r="B39" s="5" t="inlineStr">
        <is>
          <t>Nicolás Díaz Moreno</t>
        </is>
      </c>
      <c r="C39" s="6" t="inlineStr">
        <is>
          <t>98340357</t>
        </is>
      </c>
      <c r="D39" s="6" t="inlineStr">
        <is>
          <t>M</t>
        </is>
      </c>
      <c r="E39" s="6" t="n">
        <v>70</v>
      </c>
      <c r="F39" s="6" t="inlineStr">
        <is>
          <t>Adulto mayor</t>
        </is>
      </c>
      <c r="G39" s="6" t="inlineStr">
        <is>
          <t>1956-05-27</t>
        </is>
      </c>
      <c r="H39" s="5" t="inlineStr">
        <is>
          <t>SURA</t>
        </is>
      </c>
      <c r="I39" s="6" t="inlineStr">
        <is>
          <t>3876483264</t>
        </is>
      </c>
      <c r="J39" s="6" t="inlineStr">
        <is>
          <t>3777260284</t>
        </is>
      </c>
      <c r="K39" s="6" t="inlineStr">
        <is>
          <t>10:09:00</t>
        </is>
      </c>
      <c r="L39" s="5" t="inlineStr">
        <is>
          <t>FIEBRE ALTA CON CONVULSIÓN</t>
        </is>
      </c>
      <c r="M39" s="10" t="inlineStr">
        <is>
          <t>T4 · VERDE</t>
        </is>
      </c>
      <c r="N39" s="6" t="n">
        <v>25</v>
      </c>
      <c r="O39" s="6" t="n">
        <v>105</v>
      </c>
      <c r="P39" s="5" t="inlineStr">
        <is>
          <t>Carlos Ramírez</t>
        </is>
      </c>
    </row>
    <row r="40">
      <c r="A40" s="4" t="n">
        <v>69</v>
      </c>
      <c r="B40" s="5" t="inlineStr">
        <is>
          <t>Valentina Ramírez Ríos</t>
        </is>
      </c>
      <c r="C40" s="6" t="inlineStr">
        <is>
          <t>10197161</t>
        </is>
      </c>
      <c r="D40" s="6" t="inlineStr">
        <is>
          <t>F</t>
        </is>
      </c>
      <c r="E40" s="6" t="n">
        <v>68</v>
      </c>
      <c r="F40" s="6" t="inlineStr">
        <is>
          <t>Adulto mayor</t>
        </is>
      </c>
      <c r="G40" s="6" t="inlineStr">
        <is>
          <t>1958-05-27</t>
        </is>
      </c>
      <c r="H40" s="5" t="inlineStr">
        <is>
          <t>SALUD TOTAL</t>
        </is>
      </c>
      <c r="I40" s="6" t="inlineStr">
        <is>
          <t>3467437126</t>
        </is>
      </c>
      <c r="J40" s="6" t="inlineStr">
        <is>
          <t>3934985211</t>
        </is>
      </c>
      <c r="K40" s="6" t="inlineStr">
        <is>
          <t>10:14:00</t>
        </is>
      </c>
      <c r="L40" s="5" t="inlineStr">
        <is>
          <t>DOLOR ABDOMINAL AGUDO</t>
        </is>
      </c>
      <c r="M40" s="7" t="inlineStr">
        <is>
          <t>T3 · AMARILLO</t>
        </is>
      </c>
      <c r="N40" s="6" t="n">
        <v>30</v>
      </c>
      <c r="O40" s="6" t="n">
        <v>71</v>
      </c>
      <c r="P40" s="5" t="inlineStr">
        <is>
          <t>Felipe Herrera</t>
        </is>
      </c>
    </row>
    <row r="41">
      <c r="A41" s="4" t="n">
        <v>88</v>
      </c>
      <c r="B41" s="5" t="inlineStr">
        <is>
          <t>Paula Bernal Díaz</t>
        </is>
      </c>
      <c r="C41" s="6" t="inlineStr">
        <is>
          <t>70882316</t>
        </is>
      </c>
      <c r="D41" s="6" t="inlineStr">
        <is>
          <t>F</t>
        </is>
      </c>
      <c r="E41" s="6" t="n">
        <v>52</v>
      </c>
      <c r="F41" s="6" t="inlineStr">
        <is>
          <t>Adulto</t>
        </is>
      </c>
      <c r="G41" s="6" t="inlineStr">
        <is>
          <t>1974-05-27</t>
        </is>
      </c>
      <c r="H41" s="5" t="inlineStr">
        <is>
          <t>CAJACOPI</t>
        </is>
      </c>
      <c r="I41" s="6" t="inlineStr">
        <is>
          <t>3612563415</t>
        </is>
      </c>
      <c r="J41" s="6" t="inlineStr">
        <is>
          <t>3955254897</t>
        </is>
      </c>
      <c r="K41" s="6" t="inlineStr">
        <is>
          <t>10:16:00</t>
        </is>
      </c>
      <c r="L41" s="5" t="inlineStr">
        <is>
          <t>FIEBRE ALTA CON CONVULSIÓN</t>
        </is>
      </c>
      <c r="M41" s="10" t="inlineStr">
        <is>
          <t>T4 · VERDE</t>
        </is>
      </c>
      <c r="N41" s="6" t="n">
        <v>25</v>
      </c>
      <c r="O41" s="6" t="n">
        <v>23</v>
      </c>
      <c r="P41" s="5" t="inlineStr">
        <is>
          <t>Andrés Martínez</t>
        </is>
      </c>
    </row>
    <row r="42">
      <c r="A42" s="4" t="n">
        <v>76</v>
      </c>
      <c r="B42" s="5" t="inlineStr">
        <is>
          <t>Daniela Alvarado Torres</t>
        </is>
      </c>
      <c r="C42" s="6" t="inlineStr">
        <is>
          <t>64287153</t>
        </is>
      </c>
      <c r="D42" s="6" t="inlineStr">
        <is>
          <t>F</t>
        </is>
      </c>
      <c r="E42" s="6" t="n">
        <v>42</v>
      </c>
      <c r="F42" s="6" t="inlineStr">
        <is>
          <t>Adulto</t>
        </is>
      </c>
      <c r="G42" s="6" t="inlineStr">
        <is>
          <t>1984-05-27</t>
        </is>
      </c>
      <c r="H42" s="5" t="inlineStr">
        <is>
          <t>ALIANSALUD</t>
        </is>
      </c>
      <c r="I42" s="6" t="inlineStr">
        <is>
          <t>3399008356</t>
        </is>
      </c>
      <c r="J42" s="6" t="inlineStr">
        <is>
          <t>3487195610</t>
        </is>
      </c>
      <c r="K42" s="6" t="inlineStr">
        <is>
          <t>10:19:00</t>
        </is>
      </c>
      <c r="L42" s="5" t="inlineStr">
        <is>
          <t>DOLOR LEVE / MALESTAR GENERAL</t>
        </is>
      </c>
      <c r="M42" s="9" t="inlineStr">
        <is>
          <t>T5 · AZUL</t>
        </is>
      </c>
      <c r="N42" s="6" t="n">
        <v>15</v>
      </c>
      <c r="O42" s="6" t="n">
        <v>82</v>
      </c>
      <c r="P42" s="5" t="inlineStr">
        <is>
          <t>Carlos Ramírez</t>
        </is>
      </c>
    </row>
    <row r="43">
      <c r="A43" s="4" t="n">
        <v>62</v>
      </c>
      <c r="B43" s="5" t="inlineStr">
        <is>
          <t>Ana Muñoz Gómez</t>
        </is>
      </c>
      <c r="C43" s="6" t="inlineStr">
        <is>
          <t>63553164</t>
        </is>
      </c>
      <c r="D43" s="6" t="inlineStr">
        <is>
          <t>F</t>
        </is>
      </c>
      <c r="E43" s="6" t="n">
        <v>63</v>
      </c>
      <c r="F43" s="6" t="inlineStr">
        <is>
          <t>Adulto mayor</t>
        </is>
      </c>
      <c r="G43" s="6" t="inlineStr">
        <is>
          <t>1963-05-27</t>
        </is>
      </c>
      <c r="H43" s="5" t="inlineStr">
        <is>
          <t>SANITAS</t>
        </is>
      </c>
      <c r="I43" s="6" t="inlineStr">
        <is>
          <t>3274800133</t>
        </is>
      </c>
      <c r="J43" s="6" t="inlineStr">
        <is>
          <t>3305641857</t>
        </is>
      </c>
      <c r="K43" s="6" t="inlineStr">
        <is>
          <t>10:25:00</t>
        </is>
      </c>
      <c r="L43" s="5" t="inlineStr">
        <is>
          <t>FIEBRE ALTA CON CONVULSIÓN</t>
        </is>
      </c>
      <c r="M43" s="10" t="inlineStr">
        <is>
          <t>T4 · VERDE</t>
        </is>
      </c>
      <c r="N43" s="6" t="n">
        <v>25</v>
      </c>
      <c r="O43" s="6" t="n">
        <v>14</v>
      </c>
      <c r="P43" s="5" t="inlineStr">
        <is>
          <t>Andrés Martínez</t>
        </is>
      </c>
    </row>
    <row r="44">
      <c r="A44" s="4" t="n">
        <v>2</v>
      </c>
      <c r="B44" s="5" t="inlineStr">
        <is>
          <t>Sebastián Morales Ríos</t>
        </is>
      </c>
      <c r="C44" s="6" t="inlineStr">
        <is>
          <t>42842597</t>
        </is>
      </c>
      <c r="D44" s="6" t="inlineStr">
        <is>
          <t>M</t>
        </is>
      </c>
      <c r="E44" s="6" t="n">
        <v>83</v>
      </c>
      <c r="F44" s="6" t="inlineStr">
        <is>
          <t>Anciano</t>
        </is>
      </c>
      <c r="G44" s="6" t="inlineStr">
        <is>
          <t>1943-05-27</t>
        </is>
      </c>
      <c r="H44" s="5" t="inlineStr">
        <is>
          <t>COMPENSAR</t>
        </is>
      </c>
      <c r="I44" s="6" t="inlineStr">
        <is>
          <t>3423477047</t>
        </is>
      </c>
      <c r="J44" s="6" t="inlineStr">
        <is>
          <t>3934540968</t>
        </is>
      </c>
      <c r="K44" s="6" t="inlineStr">
        <is>
          <t>10:37:00</t>
        </is>
      </c>
      <c r="L44" s="5" t="inlineStr">
        <is>
          <t>HERIDA CON SANGRADO MODERADO</t>
        </is>
      </c>
      <c r="M44" s="10" t="inlineStr">
        <is>
          <t>T4 · VERDE</t>
        </is>
      </c>
      <c r="N44" s="6" t="n">
        <v>20</v>
      </c>
      <c r="O44" s="6" t="n">
        <v>5</v>
      </c>
      <c r="P44" s="5" t="inlineStr">
        <is>
          <t>Sofía Torres</t>
        </is>
      </c>
    </row>
    <row r="45">
      <c r="A45" s="4" t="n">
        <v>111</v>
      </c>
      <c r="B45" s="5" t="inlineStr">
        <is>
          <t>María Martínez Vargas</t>
        </is>
      </c>
      <c r="C45" s="6" t="inlineStr">
        <is>
          <t>31875183</t>
        </is>
      </c>
      <c r="D45" s="6" t="inlineStr">
        <is>
          <t>F</t>
        </is>
      </c>
      <c r="E45" s="6" t="n">
        <v>5</v>
      </c>
      <c r="F45" s="6" t="inlineStr">
        <is>
          <t>Infante</t>
        </is>
      </c>
      <c r="G45" s="6" t="inlineStr">
        <is>
          <t>2021-05-27</t>
        </is>
      </c>
      <c r="H45" s="5" t="inlineStr">
        <is>
          <t>MEDIMAS</t>
        </is>
      </c>
      <c r="I45" s="6" t="inlineStr">
        <is>
          <t>3548393325</t>
        </is>
      </c>
      <c r="J45" s="6" t="inlineStr">
        <is>
          <t>3925439644</t>
        </is>
      </c>
      <c r="K45" s="6" t="inlineStr">
        <is>
          <t>10:43:00</t>
        </is>
      </c>
      <c r="L45" s="5" t="inlineStr">
        <is>
          <t>CONSULTA MENOR (GRIPE, TOS)</t>
        </is>
      </c>
      <c r="M45" s="9" t="inlineStr">
        <is>
          <t>T5 · AZUL</t>
        </is>
      </c>
      <c r="N45" s="6" t="n">
        <v>10</v>
      </c>
      <c r="O45" s="6" t="n">
        <v>85</v>
      </c>
      <c r="P45" s="5" t="inlineStr">
        <is>
          <t>Felipe Herrera</t>
        </is>
      </c>
    </row>
    <row r="46">
      <c r="A46" s="4" t="n">
        <v>14</v>
      </c>
      <c r="B46" s="5" t="inlineStr">
        <is>
          <t>Ana Cárdenas Morales</t>
        </is>
      </c>
      <c r="C46" s="6" t="inlineStr">
        <is>
          <t>37497459</t>
        </is>
      </c>
      <c r="D46" s="6" t="inlineStr">
        <is>
          <t>F</t>
        </is>
      </c>
      <c r="E46" s="6" t="n">
        <v>1</v>
      </c>
      <c r="F46" s="6" t="inlineStr">
        <is>
          <t>Neonato</t>
        </is>
      </c>
      <c r="G46" s="6" t="inlineStr">
        <is>
          <t>2025-05-27</t>
        </is>
      </c>
      <c r="H46" s="5" t="inlineStr">
        <is>
          <t>SALUD TOTAL</t>
        </is>
      </c>
      <c r="I46" s="6" t="inlineStr">
        <is>
          <t>3464155588</t>
        </is>
      </c>
      <c r="J46" s="6" t="inlineStr">
        <is>
          <t>3876302200</t>
        </is>
      </c>
      <c r="K46" s="6" t="inlineStr">
        <is>
          <t>11:15:00</t>
        </is>
      </c>
      <c r="L46" s="5" t="inlineStr">
        <is>
          <t>DOLOR ABDOMINAL AGUDO</t>
        </is>
      </c>
      <c r="M46" s="7" t="inlineStr">
        <is>
          <t>T3 · AMARILLO</t>
        </is>
      </c>
      <c r="N46" s="6" t="n">
        <v>30</v>
      </c>
      <c r="O46" s="6" t="n">
        <v>51</v>
      </c>
      <c r="P46" s="5" t="inlineStr">
        <is>
          <t>Carlos Ramírez</t>
        </is>
      </c>
    </row>
    <row r="47">
      <c r="A47" s="4" t="n">
        <v>9</v>
      </c>
      <c r="B47" s="5" t="inlineStr">
        <is>
          <t>Fernanda Ospina Muñoz</t>
        </is>
      </c>
      <c r="C47" s="6" t="inlineStr">
        <is>
          <t>34670471</t>
        </is>
      </c>
      <c r="D47" s="6" t="inlineStr">
        <is>
          <t>F</t>
        </is>
      </c>
      <c r="E47" s="6" t="n">
        <v>75</v>
      </c>
      <c r="F47" s="6" t="inlineStr">
        <is>
          <t>Anciano</t>
        </is>
      </c>
      <c r="G47" s="6" t="inlineStr">
        <is>
          <t>1951-05-27</t>
        </is>
      </c>
      <c r="H47" s="5" t="inlineStr">
        <is>
          <t>CAJACOPI</t>
        </is>
      </c>
      <c r="I47" s="6" t="inlineStr">
        <is>
          <t>3884585924</t>
        </is>
      </c>
      <c r="J47" s="6" t="inlineStr">
        <is>
          <t>3362875433</t>
        </is>
      </c>
      <c r="K47" s="6" t="inlineStr">
        <is>
          <t>11:37:00</t>
        </is>
      </c>
      <c r="L47" s="5" t="inlineStr">
        <is>
          <t>DOLOR LEVE / MALESTAR GENERAL</t>
        </is>
      </c>
      <c r="M47" s="9" t="inlineStr">
        <is>
          <t>T5 · AZUL</t>
        </is>
      </c>
      <c r="N47" s="6" t="n">
        <v>15</v>
      </c>
      <c r="O47" s="6" t="n">
        <v>31</v>
      </c>
      <c r="P47" s="5" t="inlineStr">
        <is>
          <t>Andrés Martínez</t>
        </is>
      </c>
    </row>
    <row r="48">
      <c r="A48" s="4" t="n">
        <v>107</v>
      </c>
      <c r="B48" s="5" t="inlineStr">
        <is>
          <t>Sebastián Herrera Morales</t>
        </is>
      </c>
      <c r="C48" s="6" t="inlineStr">
        <is>
          <t>48464642</t>
        </is>
      </c>
      <c r="D48" s="6" t="inlineStr">
        <is>
          <t>M</t>
        </is>
      </c>
      <c r="E48" s="6" t="n">
        <v>39</v>
      </c>
      <c r="F48" s="6" t="inlineStr">
        <is>
          <t>Adulto</t>
        </is>
      </c>
      <c r="G48" s="6" t="inlineStr">
        <is>
          <t>1987-05-27</t>
        </is>
      </c>
      <c r="H48" s="5" t="inlineStr">
        <is>
          <t>ALIANSALUD</t>
        </is>
      </c>
      <c r="I48" s="6" t="inlineStr">
        <is>
          <t>3444064647</t>
        </is>
      </c>
      <c r="J48" s="6" t="inlineStr">
        <is>
          <t>3148591185</t>
        </is>
      </c>
      <c r="K48" s="6" t="inlineStr">
        <is>
          <t>11:45:00</t>
        </is>
      </c>
      <c r="L48" s="5" t="inlineStr">
        <is>
          <t>FIEBRE ALTA CON CONVULSIÓN</t>
        </is>
      </c>
      <c r="M48" s="10" t="inlineStr">
        <is>
          <t>T4 · VERDE</t>
        </is>
      </c>
      <c r="N48" s="6" t="n">
        <v>25</v>
      </c>
      <c r="O48" s="6" t="n">
        <v>54</v>
      </c>
      <c r="P48" s="5" t="inlineStr">
        <is>
          <t>Sofía Torres</t>
        </is>
      </c>
    </row>
    <row r="49">
      <c r="A49" s="4" t="n">
        <v>130</v>
      </c>
      <c r="B49" s="5" t="inlineStr">
        <is>
          <t>Camilo Reyes Ríos</t>
        </is>
      </c>
      <c r="C49" s="6" t="inlineStr">
        <is>
          <t>84631190</t>
        </is>
      </c>
      <c r="D49" s="6" t="inlineStr">
        <is>
          <t>M</t>
        </is>
      </c>
      <c r="E49" s="6" t="n">
        <v>80</v>
      </c>
      <c r="F49" s="6" t="inlineStr">
        <is>
          <t>Anciano</t>
        </is>
      </c>
      <c r="G49" s="6" t="inlineStr">
        <is>
          <t>1946-05-27</t>
        </is>
      </c>
      <c r="H49" s="5" t="inlineStr">
        <is>
          <t>ALIANSALUD</t>
        </is>
      </c>
      <c r="I49" s="6" t="inlineStr">
        <is>
          <t>3209232042</t>
        </is>
      </c>
      <c r="J49" s="6" t="inlineStr">
        <is>
          <t>3257098897</t>
        </is>
      </c>
      <c r="K49" s="6" t="inlineStr">
        <is>
          <t>12:01:00</t>
        </is>
      </c>
      <c r="L49" s="5" t="inlineStr">
        <is>
          <t>HERIDA CON SANGRADO MODERADO</t>
        </is>
      </c>
      <c r="M49" s="10" t="inlineStr">
        <is>
          <t>T4 · VERDE</t>
        </is>
      </c>
      <c r="N49" s="6" t="n">
        <v>20</v>
      </c>
      <c r="O49" s="6" t="n">
        <v>64</v>
      </c>
      <c r="P49" s="5" t="inlineStr">
        <is>
          <t>Laura Gómez</t>
        </is>
      </c>
    </row>
    <row r="50">
      <c r="A50" s="4" t="n">
        <v>33</v>
      </c>
      <c r="B50" s="5" t="inlineStr">
        <is>
          <t>Carlos Reyes Ospina</t>
        </is>
      </c>
      <c r="C50" s="6" t="inlineStr">
        <is>
          <t>31893032</t>
        </is>
      </c>
      <c r="D50" s="6" t="inlineStr">
        <is>
          <t>M</t>
        </is>
      </c>
      <c r="E50" s="6" t="n">
        <v>81</v>
      </c>
      <c r="F50" s="6" t="inlineStr">
        <is>
          <t>Anciano</t>
        </is>
      </c>
      <c r="G50" s="6" t="inlineStr">
        <is>
          <t>1945-05-27</t>
        </is>
      </c>
      <c r="H50" s="5" t="inlineStr">
        <is>
          <t>SURA</t>
        </is>
      </c>
      <c r="I50" s="6" t="inlineStr">
        <is>
          <t>3529732130</t>
        </is>
      </c>
      <c r="J50" s="6" t="inlineStr">
        <is>
          <t>3469787511</t>
        </is>
      </c>
      <c r="K50" s="6" t="inlineStr">
        <is>
          <t>12:02:00</t>
        </is>
      </c>
      <c r="L50" s="5" t="inlineStr">
        <is>
          <t>CONSULTA MENOR (GRIPE, TOS)</t>
        </is>
      </c>
      <c r="M50" s="9" t="inlineStr">
        <is>
          <t>T5 · AZUL</t>
        </is>
      </c>
      <c r="N50" s="6" t="n">
        <v>10</v>
      </c>
      <c r="O50" s="6" t="n">
        <v>24</v>
      </c>
      <c r="P50" s="5" t="inlineStr">
        <is>
          <t>Sofía Torres</t>
        </is>
      </c>
    </row>
    <row r="51">
      <c r="A51" s="4" t="n">
        <v>137</v>
      </c>
      <c r="B51" s="5" t="inlineStr">
        <is>
          <t>María Alvarado Moreno</t>
        </is>
      </c>
      <c r="C51" s="6" t="inlineStr">
        <is>
          <t>55271146</t>
        </is>
      </c>
      <c r="D51" s="6" t="inlineStr">
        <is>
          <t>F</t>
        </is>
      </c>
      <c r="E51" s="6" t="n">
        <v>66</v>
      </c>
      <c r="F51" s="6" t="inlineStr">
        <is>
          <t>Adulto mayor</t>
        </is>
      </c>
      <c r="G51" s="6" t="inlineStr">
        <is>
          <t>1960-05-27</t>
        </is>
      </c>
      <c r="H51" s="5" t="inlineStr">
        <is>
          <t>FAMISANAR</t>
        </is>
      </c>
      <c r="I51" s="6" t="inlineStr">
        <is>
          <t>3421205717</t>
        </is>
      </c>
      <c r="J51" s="6" t="inlineStr">
        <is>
          <t>3401640779</t>
        </is>
      </c>
      <c r="K51" s="6" t="inlineStr">
        <is>
          <t>12:05:00</t>
        </is>
      </c>
      <c r="L51" s="5" t="inlineStr">
        <is>
          <t>HERIDA CON SANGRADO MODERADO</t>
        </is>
      </c>
      <c r="M51" s="10" t="inlineStr">
        <is>
          <t>T4 · VERDE</t>
        </is>
      </c>
      <c r="N51" s="6" t="n">
        <v>20</v>
      </c>
      <c r="O51" s="6" t="n">
        <v>57</v>
      </c>
      <c r="P51" s="5" t="inlineStr">
        <is>
          <t>Carlos Ramírez</t>
        </is>
      </c>
    </row>
    <row r="52">
      <c r="A52" s="4" t="n">
        <v>63</v>
      </c>
      <c r="B52" s="5" t="inlineStr">
        <is>
          <t>David Torres López</t>
        </is>
      </c>
      <c r="C52" s="6" t="inlineStr">
        <is>
          <t>82998615</t>
        </is>
      </c>
      <c r="D52" s="6" t="inlineStr">
        <is>
          <t>M</t>
        </is>
      </c>
      <c r="E52" s="6" t="n">
        <v>64</v>
      </c>
      <c r="F52" s="6" t="inlineStr">
        <is>
          <t>Adulto mayor</t>
        </is>
      </c>
      <c r="G52" s="6" t="inlineStr">
        <is>
          <t>1962-05-27</t>
        </is>
      </c>
      <c r="H52" s="5" t="inlineStr">
        <is>
          <t>FAMISANAR</t>
        </is>
      </c>
      <c r="I52" s="6" t="inlineStr">
        <is>
          <t>3617175752</t>
        </is>
      </c>
      <c r="J52" s="6" t="inlineStr">
        <is>
          <t>3499591200</t>
        </is>
      </c>
      <c r="K52" s="6" t="inlineStr">
        <is>
          <t>12:13:00</t>
        </is>
      </c>
      <c r="L52" s="5" t="inlineStr">
        <is>
          <t>FIEBRE ALTA CON CONVULSIÓN</t>
        </is>
      </c>
      <c r="M52" s="10" t="inlineStr">
        <is>
          <t>T4 · VERDE</t>
        </is>
      </c>
      <c r="N52" s="6" t="n">
        <v>25</v>
      </c>
      <c r="O52" s="6" t="n">
        <v>7</v>
      </c>
      <c r="P52" s="5" t="inlineStr">
        <is>
          <t>Felipe Herrera</t>
        </is>
      </c>
    </row>
    <row r="53">
      <c r="A53" s="4" t="n">
        <v>116</v>
      </c>
      <c r="B53" s="5" t="inlineStr">
        <is>
          <t>Laura Castro Martínez</t>
        </is>
      </c>
      <c r="C53" s="6" t="inlineStr">
        <is>
          <t>41584492</t>
        </is>
      </c>
      <c r="D53" s="6" t="inlineStr">
        <is>
          <t>F</t>
        </is>
      </c>
      <c r="E53" s="6" t="n">
        <v>68</v>
      </c>
      <c r="F53" s="6" t="inlineStr">
        <is>
          <t>Adulto mayor</t>
        </is>
      </c>
      <c r="G53" s="6" t="inlineStr">
        <is>
          <t>1958-05-27</t>
        </is>
      </c>
      <c r="H53" s="5" t="inlineStr">
        <is>
          <t>SANITAS</t>
        </is>
      </c>
      <c r="I53" s="6" t="inlineStr">
        <is>
          <t>3959312484</t>
        </is>
      </c>
      <c r="J53" s="6" t="inlineStr">
        <is>
          <t>3416539311</t>
        </is>
      </c>
      <c r="K53" s="6" t="inlineStr">
        <is>
          <t>12:14:00</t>
        </is>
      </c>
      <c r="L53" s="5" t="inlineStr">
        <is>
          <t>DIFICULTAD RESPIRATORIA SEVERA</t>
        </is>
      </c>
      <c r="M53" s="8" t="inlineStr">
        <is>
          <t>T2 · NARANJA</t>
        </is>
      </c>
      <c r="N53" s="6" t="n">
        <v>45</v>
      </c>
      <c r="O53" s="6" t="n">
        <v>19</v>
      </c>
      <c r="P53" s="5" t="inlineStr">
        <is>
          <t>Sofía Torres</t>
        </is>
      </c>
    </row>
    <row r="54">
      <c r="A54" s="4" t="n">
        <v>70</v>
      </c>
      <c r="B54" s="5" t="inlineStr">
        <is>
          <t>Carlos Muñoz Ramírez</t>
        </is>
      </c>
      <c r="C54" s="6" t="inlineStr">
        <is>
          <t>29025483</t>
        </is>
      </c>
      <c r="D54" s="6" t="inlineStr">
        <is>
          <t>M</t>
        </is>
      </c>
      <c r="E54" s="6" t="n">
        <v>0</v>
      </c>
      <c r="F54" s="6" t="inlineStr">
        <is>
          <t>Neonato</t>
        </is>
      </c>
      <c r="G54" s="6" t="inlineStr">
        <is>
          <t>2026-05-27</t>
        </is>
      </c>
      <c r="H54" s="5" t="inlineStr">
        <is>
          <t>SALUD TOTAL</t>
        </is>
      </c>
      <c r="I54" s="6" t="inlineStr">
        <is>
          <t>3637979061</t>
        </is>
      </c>
      <c r="J54" s="6" t="inlineStr">
        <is>
          <t>3133907221</t>
        </is>
      </c>
      <c r="K54" s="6" t="inlineStr">
        <is>
          <t>12:23:00</t>
        </is>
      </c>
      <c r="L54" s="5" t="inlineStr">
        <is>
          <t>ACV / DERRAME CEREBRAL</t>
        </is>
      </c>
      <c r="M54" s="8" t="inlineStr">
        <is>
          <t>T2 · NARANJA</t>
        </is>
      </c>
      <c r="N54" s="6" t="n">
        <v>50</v>
      </c>
      <c r="O54" s="6" t="n">
        <v>68</v>
      </c>
      <c r="P54" s="5" t="inlineStr">
        <is>
          <t>Carlos Ramírez</t>
        </is>
      </c>
    </row>
    <row r="55">
      <c r="A55" s="4" t="n">
        <v>77</v>
      </c>
      <c r="B55" s="5" t="inlineStr">
        <is>
          <t>Sebastián Gómez Pardo</t>
        </is>
      </c>
      <c r="C55" s="6" t="inlineStr">
        <is>
          <t>78850778</t>
        </is>
      </c>
      <c r="D55" s="6" t="inlineStr">
        <is>
          <t>M</t>
        </is>
      </c>
      <c r="E55" s="6" t="n">
        <v>36</v>
      </c>
      <c r="F55" s="6" t="inlineStr">
        <is>
          <t>Adulto</t>
        </is>
      </c>
      <c r="G55" s="6" t="inlineStr">
        <is>
          <t>1990-05-27</t>
        </is>
      </c>
      <c r="H55" s="5" t="inlineStr">
        <is>
          <t>MEDIMAS</t>
        </is>
      </c>
      <c r="I55" s="6" t="inlineStr">
        <is>
          <t>3598293133</t>
        </is>
      </c>
      <c r="J55" s="6" t="inlineStr">
        <is>
          <t>3239359828</t>
        </is>
      </c>
      <c r="K55" s="6" t="inlineStr">
        <is>
          <t>12:34:00</t>
        </is>
      </c>
      <c r="L55" s="5" t="inlineStr">
        <is>
          <t>DIFICULTAD RESPIRATORIA SEVERA</t>
        </is>
      </c>
      <c r="M55" s="8" t="inlineStr">
        <is>
          <t>T2 · NARANJA</t>
        </is>
      </c>
      <c r="N55" s="6" t="n">
        <v>45</v>
      </c>
      <c r="O55" s="6" t="n">
        <v>115</v>
      </c>
      <c r="P55" s="5" t="inlineStr">
        <is>
          <t>Felipe Herrera</t>
        </is>
      </c>
    </row>
    <row r="56">
      <c r="A56" s="4" t="n">
        <v>57</v>
      </c>
      <c r="B56" s="5" t="inlineStr">
        <is>
          <t>Laura Medina Rodríguez</t>
        </is>
      </c>
      <c r="C56" s="6" t="inlineStr">
        <is>
          <t>58493326</t>
        </is>
      </c>
      <c r="D56" s="6" t="inlineStr">
        <is>
          <t>F</t>
        </is>
      </c>
      <c r="E56" s="6" t="n">
        <v>28</v>
      </c>
      <c r="F56" s="6" t="inlineStr">
        <is>
          <t>Adulto</t>
        </is>
      </c>
      <c r="G56" s="6" t="inlineStr">
        <is>
          <t>1998-05-27</t>
        </is>
      </c>
      <c r="H56" s="5" t="inlineStr">
        <is>
          <t>NUEVA EPS</t>
        </is>
      </c>
      <c r="I56" s="6" t="inlineStr">
        <is>
          <t>3453894099</t>
        </is>
      </c>
      <c r="J56" s="6" t="inlineStr">
        <is>
          <t>3383563905</t>
        </is>
      </c>
      <c r="K56" s="6" t="inlineStr">
        <is>
          <t>12:36:00</t>
        </is>
      </c>
      <c r="L56" s="5" t="inlineStr">
        <is>
          <t>HERIDA CON SANGRADO MODERADO</t>
        </is>
      </c>
      <c r="M56" s="10" t="inlineStr">
        <is>
          <t>T4 · VERDE</t>
        </is>
      </c>
      <c r="N56" s="6" t="n">
        <v>20</v>
      </c>
      <c r="O56" s="6" t="n">
        <v>90</v>
      </c>
      <c r="P56" s="5" t="inlineStr">
        <is>
          <t>Sofía Torres</t>
        </is>
      </c>
    </row>
    <row r="57">
      <c r="A57" s="4" t="n">
        <v>11</v>
      </c>
      <c r="B57" s="5" t="inlineStr">
        <is>
          <t>Miguel Gómez Cárdenas</t>
        </is>
      </c>
      <c r="C57" s="6" t="inlineStr">
        <is>
          <t>64317864</t>
        </is>
      </c>
      <c r="D57" s="6" t="inlineStr">
        <is>
          <t>M</t>
        </is>
      </c>
      <c r="E57" s="6" t="n">
        <v>5</v>
      </c>
      <c r="F57" s="6" t="inlineStr">
        <is>
          <t>Infante</t>
        </is>
      </c>
      <c r="G57" s="6" t="inlineStr">
        <is>
          <t>2021-05-27</t>
        </is>
      </c>
      <c r="H57" s="5" t="inlineStr">
        <is>
          <t>SANITAS</t>
        </is>
      </c>
      <c r="I57" s="6" t="inlineStr">
        <is>
          <t>3859171838</t>
        </is>
      </c>
      <c r="J57" s="6" t="inlineStr">
        <is>
          <t>3457428628</t>
        </is>
      </c>
      <c r="K57" s="6" t="inlineStr">
        <is>
          <t>12:41:00</t>
        </is>
      </c>
      <c r="L57" s="5" t="inlineStr">
        <is>
          <t>ACV / DERRAME CEREBRAL</t>
        </is>
      </c>
      <c r="M57" s="8" t="inlineStr">
        <is>
          <t>T2 · NARANJA</t>
        </is>
      </c>
      <c r="N57" s="6" t="n">
        <v>50</v>
      </c>
      <c r="O57" s="6" t="n">
        <v>113</v>
      </c>
      <c r="P57" s="5" t="inlineStr">
        <is>
          <t>Felipe Herrera</t>
        </is>
      </c>
    </row>
    <row r="58">
      <c r="A58" s="4" t="n">
        <v>55</v>
      </c>
      <c r="B58" s="5" t="inlineStr">
        <is>
          <t>Carlos Torres Sánchez</t>
        </is>
      </c>
      <c r="C58" s="6" t="inlineStr">
        <is>
          <t>33133079</t>
        </is>
      </c>
      <c r="D58" s="6" t="inlineStr">
        <is>
          <t>M</t>
        </is>
      </c>
      <c r="E58" s="6" t="n">
        <v>85</v>
      </c>
      <c r="F58" s="6" t="inlineStr">
        <is>
          <t>Anciano</t>
        </is>
      </c>
      <c r="G58" s="6" t="inlineStr">
        <is>
          <t>1941-05-27</t>
        </is>
      </c>
      <c r="H58" s="5" t="inlineStr">
        <is>
          <t>SURA</t>
        </is>
      </c>
      <c r="I58" s="6" t="inlineStr">
        <is>
          <t>3496993938</t>
        </is>
      </c>
      <c r="J58" s="6" t="inlineStr">
        <is>
          <t>3303637021</t>
        </is>
      </c>
      <c r="K58" s="6" t="inlineStr">
        <is>
          <t>12:47:00</t>
        </is>
      </c>
      <c r="L58" s="5" t="inlineStr">
        <is>
          <t>HERIDA CON SANGRADO MODERADO</t>
        </is>
      </c>
      <c r="M58" s="10" t="inlineStr">
        <is>
          <t>T4 · VERDE</t>
        </is>
      </c>
      <c r="N58" s="6" t="n">
        <v>20</v>
      </c>
      <c r="O58" s="6" t="n">
        <v>79</v>
      </c>
      <c r="P58" s="5" t="inlineStr">
        <is>
          <t>Felipe Herrera</t>
        </is>
      </c>
    </row>
    <row r="59">
      <c r="A59" s="4" t="n">
        <v>18</v>
      </c>
      <c r="B59" s="5" t="inlineStr">
        <is>
          <t>Ana Gómez Jiménez</t>
        </is>
      </c>
      <c r="C59" s="6" t="inlineStr">
        <is>
          <t>98685553</t>
        </is>
      </c>
      <c r="D59" s="6" t="inlineStr">
        <is>
          <t>F</t>
        </is>
      </c>
      <c r="E59" s="6" t="n">
        <v>68</v>
      </c>
      <c r="F59" s="6" t="inlineStr">
        <is>
          <t>Adulto mayor</t>
        </is>
      </c>
      <c r="G59" s="6" t="inlineStr">
        <is>
          <t>1958-05-27</t>
        </is>
      </c>
      <c r="H59" s="5" t="inlineStr">
        <is>
          <t>COMPENSAR</t>
        </is>
      </c>
      <c r="I59" s="6" t="inlineStr">
        <is>
          <t>3221503818</t>
        </is>
      </c>
      <c r="J59" s="6" t="inlineStr">
        <is>
          <t>3591402097</t>
        </is>
      </c>
      <c r="K59" s="6" t="inlineStr">
        <is>
          <t>12:52:00</t>
        </is>
      </c>
      <c r="L59" s="5" t="inlineStr">
        <is>
          <t>DOLOR ABDOMINAL AGUDO</t>
        </is>
      </c>
      <c r="M59" s="7" t="inlineStr">
        <is>
          <t>T3 · AMARILLO</t>
        </is>
      </c>
      <c r="N59" s="6" t="n">
        <v>30</v>
      </c>
      <c r="O59" s="6" t="n">
        <v>82</v>
      </c>
      <c r="P59" s="5" t="inlineStr">
        <is>
          <t>Laura Gómez</t>
        </is>
      </c>
    </row>
    <row r="60">
      <c r="A60" s="4" t="n">
        <v>43</v>
      </c>
      <c r="B60" s="5" t="inlineStr">
        <is>
          <t>Ricardo Sánchez Ospina</t>
        </is>
      </c>
      <c r="C60" s="6" t="inlineStr">
        <is>
          <t>43420475</t>
        </is>
      </c>
      <c r="D60" s="6" t="inlineStr">
        <is>
          <t>M</t>
        </is>
      </c>
      <c r="E60" s="6" t="n">
        <v>19</v>
      </c>
      <c r="F60" s="6" t="inlineStr">
        <is>
          <t>Adulto</t>
        </is>
      </c>
      <c r="G60" s="6" t="inlineStr">
        <is>
          <t>2007-05-27</t>
        </is>
      </c>
      <c r="H60" s="5" t="inlineStr">
        <is>
          <t>FAMISANAR</t>
        </is>
      </c>
      <c r="I60" s="6" t="inlineStr">
        <is>
          <t>3891701958</t>
        </is>
      </c>
      <c r="J60" s="6" t="inlineStr">
        <is>
          <t>3525914293</t>
        </is>
      </c>
      <c r="K60" s="6" t="inlineStr">
        <is>
          <t>12:52:00</t>
        </is>
      </c>
      <c r="L60" s="5" t="inlineStr">
        <is>
          <t>FIEBRE ALTA CON CONVULSIÓN</t>
        </is>
      </c>
      <c r="M60" s="10" t="inlineStr">
        <is>
          <t>T4 · VERDE</t>
        </is>
      </c>
      <c r="N60" s="6" t="n">
        <v>25</v>
      </c>
      <c r="O60" s="6" t="n">
        <v>53</v>
      </c>
      <c r="P60" s="5" t="inlineStr">
        <is>
          <t>Sofía Torres</t>
        </is>
      </c>
    </row>
    <row r="61">
      <c r="A61" s="4" t="n">
        <v>72</v>
      </c>
      <c r="B61" s="5" t="inlineStr">
        <is>
          <t>Camila Castro Bernal</t>
        </is>
      </c>
      <c r="C61" s="6" t="inlineStr">
        <is>
          <t>83745502</t>
        </is>
      </c>
      <c r="D61" s="6" t="inlineStr">
        <is>
          <t>F</t>
        </is>
      </c>
      <c r="E61" s="6" t="n">
        <v>73</v>
      </c>
      <c r="F61" s="6" t="inlineStr">
        <is>
          <t>Adulto mayor</t>
        </is>
      </c>
      <c r="G61" s="6" t="inlineStr">
        <is>
          <t>1953-05-27</t>
        </is>
      </c>
      <c r="H61" s="5" t="inlineStr">
        <is>
          <t>COOMEVA</t>
        </is>
      </c>
      <c r="I61" s="6" t="inlineStr">
        <is>
          <t>3463650665</t>
        </is>
      </c>
      <c r="J61" s="6" t="inlineStr">
        <is>
          <t>3831336128</t>
        </is>
      </c>
      <c r="K61" s="6" t="inlineStr">
        <is>
          <t>12:52:00</t>
        </is>
      </c>
      <c r="L61" s="5" t="inlineStr">
        <is>
          <t>DIFICULTAD RESPIRATORIA SEVERA</t>
        </is>
      </c>
      <c r="M61" s="8" t="inlineStr">
        <is>
          <t>T2 · NARANJA</t>
        </is>
      </c>
      <c r="N61" s="6" t="n">
        <v>45</v>
      </c>
      <c r="O61" s="6" t="n">
        <v>87</v>
      </c>
      <c r="P61" s="5" t="inlineStr">
        <is>
          <t>Felipe Herrera</t>
        </is>
      </c>
    </row>
    <row r="62">
      <c r="A62" s="4" t="n">
        <v>92</v>
      </c>
      <c r="B62" s="5" t="inlineStr">
        <is>
          <t>Sebastián Díaz Medina</t>
        </is>
      </c>
      <c r="C62" s="6" t="inlineStr">
        <is>
          <t>64873477</t>
        </is>
      </c>
      <c r="D62" s="6" t="inlineStr">
        <is>
          <t>M</t>
        </is>
      </c>
      <c r="E62" s="6" t="n">
        <v>57</v>
      </c>
      <c r="F62" s="6" t="inlineStr">
        <is>
          <t>Adulto</t>
        </is>
      </c>
      <c r="G62" s="6" t="inlineStr">
        <is>
          <t>1969-05-27</t>
        </is>
      </c>
      <c r="H62" s="5" t="inlineStr">
        <is>
          <t>COOMEVA</t>
        </is>
      </c>
      <c r="I62" s="6" t="inlineStr">
        <is>
          <t>3269597019</t>
        </is>
      </c>
      <c r="J62" s="6" t="inlineStr">
        <is>
          <t>3713769182</t>
        </is>
      </c>
      <c r="K62" s="6" t="inlineStr">
        <is>
          <t>13:03:00</t>
        </is>
      </c>
      <c r="L62" s="5" t="inlineStr">
        <is>
          <t>FIEBRE ALTA CON CONVULSIÓN</t>
        </is>
      </c>
      <c r="M62" s="10" t="inlineStr">
        <is>
          <t>T4 · VERDE</t>
        </is>
      </c>
      <c r="N62" s="6" t="n">
        <v>25</v>
      </c>
      <c r="O62" s="6" t="n">
        <v>87</v>
      </c>
      <c r="P62" s="5" t="inlineStr">
        <is>
          <t>Laura Gómez</t>
        </is>
      </c>
    </row>
    <row r="63">
      <c r="A63" s="4" t="n">
        <v>148</v>
      </c>
      <c r="B63" s="5" t="inlineStr">
        <is>
          <t>Carlos Reyes Díaz</t>
        </is>
      </c>
      <c r="C63" s="6" t="inlineStr">
        <is>
          <t>18908095</t>
        </is>
      </c>
      <c r="D63" s="6" t="inlineStr">
        <is>
          <t>M</t>
        </is>
      </c>
      <c r="E63" s="6" t="n">
        <v>30</v>
      </c>
      <c r="F63" s="6" t="inlineStr">
        <is>
          <t>Adulto</t>
        </is>
      </c>
      <c r="G63" s="6" t="inlineStr">
        <is>
          <t>1996-05-27</t>
        </is>
      </c>
      <c r="H63" s="5" t="inlineStr">
        <is>
          <t>FAMISANAR</t>
        </is>
      </c>
      <c r="I63" s="6" t="inlineStr">
        <is>
          <t>3246006307</t>
        </is>
      </c>
      <c r="J63" s="6" t="inlineStr">
        <is>
          <t>3743184698</t>
        </is>
      </c>
      <c r="K63" s="6" t="inlineStr">
        <is>
          <t>13:03:00</t>
        </is>
      </c>
      <c r="L63" s="5" t="inlineStr">
        <is>
          <t>PARO CARDIORESPIESTARIO</t>
        </is>
      </c>
      <c r="M63" s="11" t="inlineStr">
        <is>
          <t>T1 · ROJO</t>
        </is>
      </c>
      <c r="N63" s="6" t="n">
        <v>60</v>
      </c>
      <c r="O63" s="6" t="n">
        <v>120</v>
      </c>
      <c r="P63" s="5" t="inlineStr">
        <is>
          <t>Laura Gómez</t>
        </is>
      </c>
    </row>
    <row r="64">
      <c r="A64" s="4" t="n">
        <v>89</v>
      </c>
      <c r="B64" s="5" t="inlineStr">
        <is>
          <t>Camila Díaz Rodríguez</t>
        </is>
      </c>
      <c r="C64" s="6" t="inlineStr">
        <is>
          <t>31995776</t>
        </is>
      </c>
      <c r="D64" s="6" t="inlineStr">
        <is>
          <t>F</t>
        </is>
      </c>
      <c r="E64" s="6" t="n">
        <v>62</v>
      </c>
      <c r="F64" s="6" t="inlineStr">
        <is>
          <t>Adulto mayor</t>
        </is>
      </c>
      <c r="G64" s="6" t="inlineStr">
        <is>
          <t>1964-05-27</t>
        </is>
      </c>
      <c r="H64" s="5" t="inlineStr">
        <is>
          <t>SALUD TOTAL</t>
        </is>
      </c>
      <c r="I64" s="6" t="inlineStr">
        <is>
          <t>3905229426</t>
        </is>
      </c>
      <c r="J64" s="6" t="inlineStr">
        <is>
          <t>3218640103</t>
        </is>
      </c>
      <c r="K64" s="6" t="inlineStr">
        <is>
          <t>13:09:00</t>
        </is>
      </c>
      <c r="L64" s="5" t="inlineStr">
        <is>
          <t>HERIDA CON SANGRADO MODERADO</t>
        </is>
      </c>
      <c r="M64" s="10" t="inlineStr">
        <is>
          <t>T4 · VERDE</t>
        </is>
      </c>
      <c r="N64" s="6" t="n">
        <v>20</v>
      </c>
      <c r="O64" s="6" t="n">
        <v>99</v>
      </c>
      <c r="P64" s="5" t="inlineStr">
        <is>
          <t>Carlos Ramírez</t>
        </is>
      </c>
    </row>
    <row r="65">
      <c r="A65" s="4" t="n">
        <v>40</v>
      </c>
      <c r="B65" s="5" t="inlineStr">
        <is>
          <t>Ana Herrera Gómez</t>
        </is>
      </c>
      <c r="C65" s="6" t="inlineStr">
        <is>
          <t>83513318</t>
        </is>
      </c>
      <c r="D65" s="6" t="inlineStr">
        <is>
          <t>F</t>
        </is>
      </c>
      <c r="E65" s="6" t="n">
        <v>88</v>
      </c>
      <c r="F65" s="6" t="inlineStr">
        <is>
          <t>Anciano</t>
        </is>
      </c>
      <c r="G65" s="6" t="inlineStr">
        <is>
          <t>1938-05-27</t>
        </is>
      </c>
      <c r="H65" s="5" t="inlineStr">
        <is>
          <t>SURA</t>
        </is>
      </c>
      <c r="I65" s="6" t="inlineStr">
        <is>
          <t>3823313733</t>
        </is>
      </c>
      <c r="J65" s="6" t="inlineStr">
        <is>
          <t>3172181433</t>
        </is>
      </c>
      <c r="K65" s="6" t="inlineStr">
        <is>
          <t>13:14:00</t>
        </is>
      </c>
      <c r="L65" s="5" t="inlineStr">
        <is>
          <t>DOLOR ABDOMINAL AGUDO</t>
        </is>
      </c>
      <c r="M65" s="7" t="inlineStr">
        <is>
          <t>T3 · AMARILLO</t>
        </is>
      </c>
      <c r="N65" s="6" t="n">
        <v>30</v>
      </c>
      <c r="O65" s="6" t="n">
        <v>28</v>
      </c>
      <c r="P65" s="5" t="inlineStr">
        <is>
          <t>Laura Gómez</t>
        </is>
      </c>
    </row>
    <row r="66">
      <c r="A66" s="4" t="n">
        <v>147</v>
      </c>
      <c r="B66" s="5" t="inlineStr">
        <is>
          <t>Ricardo Gómez Bernal</t>
        </is>
      </c>
      <c r="C66" s="6" t="inlineStr">
        <is>
          <t>34178760</t>
        </is>
      </c>
      <c r="D66" s="6" t="inlineStr">
        <is>
          <t>M</t>
        </is>
      </c>
      <c r="E66" s="6" t="n">
        <v>76</v>
      </c>
      <c r="F66" s="6" t="inlineStr">
        <is>
          <t>Anciano</t>
        </is>
      </c>
      <c r="G66" s="6" t="inlineStr">
        <is>
          <t>1950-05-27</t>
        </is>
      </c>
      <c r="H66" s="5" t="inlineStr">
        <is>
          <t>COMPENSAR</t>
        </is>
      </c>
      <c r="I66" s="6" t="inlineStr">
        <is>
          <t>3421376539</t>
        </is>
      </c>
      <c r="J66" s="6" t="inlineStr">
        <is>
          <t>3674293370</t>
        </is>
      </c>
      <c r="K66" s="6" t="inlineStr">
        <is>
          <t>13:24:00</t>
        </is>
      </c>
      <c r="L66" s="5" t="inlineStr">
        <is>
          <t>POLITRAUMATISMO GRAVE</t>
        </is>
      </c>
      <c r="M66" s="11" t="inlineStr">
        <is>
          <t>T1 · ROJO</t>
        </is>
      </c>
      <c r="N66" s="6" t="n">
        <v>90</v>
      </c>
      <c r="O66" s="6" t="n">
        <v>40</v>
      </c>
      <c r="P66" s="5" t="inlineStr">
        <is>
          <t>Carlos Ramírez</t>
        </is>
      </c>
    </row>
    <row r="67">
      <c r="A67" s="4" t="n">
        <v>34</v>
      </c>
      <c r="B67" s="5" t="inlineStr">
        <is>
          <t>Valentina Cruz Rodríguez</t>
        </is>
      </c>
      <c r="C67" s="6" t="inlineStr">
        <is>
          <t>77571525</t>
        </is>
      </c>
      <c r="D67" s="6" t="inlineStr">
        <is>
          <t>F</t>
        </is>
      </c>
      <c r="E67" s="6" t="n">
        <v>73</v>
      </c>
      <c r="F67" s="6" t="inlineStr">
        <is>
          <t>Adulto mayor</t>
        </is>
      </c>
      <c r="G67" s="6" t="inlineStr">
        <is>
          <t>1953-05-27</t>
        </is>
      </c>
      <c r="H67" s="5" t="inlineStr">
        <is>
          <t>SURA</t>
        </is>
      </c>
      <c r="I67" s="6" t="inlineStr">
        <is>
          <t>3927907614</t>
        </is>
      </c>
      <c r="J67" s="6" t="inlineStr">
        <is>
          <t>3848694257</t>
        </is>
      </c>
      <c r="K67" s="6" t="inlineStr">
        <is>
          <t>13:37:00</t>
        </is>
      </c>
      <c r="L67" s="5" t="inlineStr">
        <is>
          <t>FIEBRE ALTA CON CONVULSIÓN</t>
        </is>
      </c>
      <c r="M67" s="10" t="inlineStr">
        <is>
          <t>T4 · VERDE</t>
        </is>
      </c>
      <c r="N67" s="6" t="n">
        <v>25</v>
      </c>
      <c r="O67" s="6" t="n">
        <v>119</v>
      </c>
      <c r="P67" s="5" t="inlineStr">
        <is>
          <t>Carlos Ramírez</t>
        </is>
      </c>
    </row>
    <row r="68">
      <c r="A68" s="4" t="n">
        <v>16</v>
      </c>
      <c r="B68" s="5" t="inlineStr">
        <is>
          <t>Luis Vargas Bernal</t>
        </is>
      </c>
      <c r="C68" s="6" t="inlineStr">
        <is>
          <t>85461706</t>
        </is>
      </c>
      <c r="D68" s="6" t="inlineStr">
        <is>
          <t>M</t>
        </is>
      </c>
      <c r="E68" s="6" t="n">
        <v>76</v>
      </c>
      <c r="F68" s="6" t="inlineStr">
        <is>
          <t>Anciano</t>
        </is>
      </c>
      <c r="G68" s="6" t="inlineStr">
        <is>
          <t>1950-05-27</t>
        </is>
      </c>
      <c r="H68" s="5" t="inlineStr">
        <is>
          <t>COOMEVA</t>
        </is>
      </c>
      <c r="I68" s="6" t="inlineStr">
        <is>
          <t>3445511780</t>
        </is>
      </c>
      <c r="J68" s="6" t="inlineStr">
        <is>
          <t>3535969185</t>
        </is>
      </c>
      <c r="K68" s="6" t="inlineStr">
        <is>
          <t>13:42:00</t>
        </is>
      </c>
      <c r="L68" s="5" t="inlineStr">
        <is>
          <t>DIFICULTAD RESPIRATORIA SEVERA</t>
        </is>
      </c>
      <c r="M68" s="8" t="inlineStr">
        <is>
          <t>T2 · NARANJA</t>
        </is>
      </c>
      <c r="N68" s="6" t="n">
        <v>45</v>
      </c>
      <c r="O68" s="6" t="n">
        <v>18</v>
      </c>
      <c r="P68" s="5" t="inlineStr">
        <is>
          <t>Felipe Herrera</t>
        </is>
      </c>
    </row>
    <row r="69">
      <c r="A69" s="4" t="n">
        <v>87</v>
      </c>
      <c r="B69" s="5" t="inlineStr">
        <is>
          <t>Miguel Sánchez Sánchez</t>
        </is>
      </c>
      <c r="C69" s="6" t="inlineStr">
        <is>
          <t>36384772</t>
        </is>
      </c>
      <c r="D69" s="6" t="inlineStr">
        <is>
          <t>M</t>
        </is>
      </c>
      <c r="E69" s="6" t="n">
        <v>42</v>
      </c>
      <c r="F69" s="6" t="inlineStr">
        <is>
          <t>Adulto</t>
        </is>
      </c>
      <c r="G69" s="6" t="inlineStr">
        <is>
          <t>1984-05-27</t>
        </is>
      </c>
      <c r="H69" s="5" t="inlineStr">
        <is>
          <t>FAMISANAR</t>
        </is>
      </c>
      <c r="I69" s="6" t="inlineStr">
        <is>
          <t>3194201737</t>
        </is>
      </c>
      <c r="J69" s="6" t="inlineStr">
        <is>
          <t>3987146787</t>
        </is>
      </c>
      <c r="K69" s="6" t="inlineStr">
        <is>
          <t>13:42:00</t>
        </is>
      </c>
      <c r="L69" s="5" t="inlineStr">
        <is>
          <t>FIEBRE ALTA CON CONVULSIÓN</t>
        </is>
      </c>
      <c r="M69" s="10" t="inlineStr">
        <is>
          <t>T4 · VERDE</t>
        </is>
      </c>
      <c r="N69" s="6" t="n">
        <v>25</v>
      </c>
      <c r="O69" s="6" t="n">
        <v>94</v>
      </c>
      <c r="P69" s="5" t="inlineStr">
        <is>
          <t>Andrés Martínez</t>
        </is>
      </c>
    </row>
    <row r="70">
      <c r="A70" s="4" t="n">
        <v>108</v>
      </c>
      <c r="B70" s="5" t="inlineStr">
        <is>
          <t>Ana Moreno Sánchez</t>
        </is>
      </c>
      <c r="C70" s="6" t="inlineStr">
        <is>
          <t>82884408</t>
        </is>
      </c>
      <c r="D70" s="6" t="inlineStr">
        <is>
          <t>F</t>
        </is>
      </c>
      <c r="E70" s="6" t="n">
        <v>26</v>
      </c>
      <c r="F70" s="6" t="inlineStr">
        <is>
          <t>Adulto</t>
        </is>
      </c>
      <c r="G70" s="6" t="inlineStr">
        <is>
          <t>2000-05-27</t>
        </is>
      </c>
      <c r="H70" s="5" t="inlineStr">
        <is>
          <t>NUEVA EPS</t>
        </is>
      </c>
      <c r="I70" s="6" t="inlineStr">
        <is>
          <t>3302967355</t>
        </is>
      </c>
      <c r="J70" s="6" t="inlineStr">
        <is>
          <t>3678379343</t>
        </is>
      </c>
      <c r="K70" s="6" t="inlineStr">
        <is>
          <t>13:44:00</t>
        </is>
      </c>
      <c r="L70" s="5" t="inlineStr">
        <is>
          <t>FIEBRE ALTA CON CONVULSIÓN</t>
        </is>
      </c>
      <c r="M70" s="10" t="inlineStr">
        <is>
          <t>T4 · VERDE</t>
        </is>
      </c>
      <c r="N70" s="6" t="n">
        <v>25</v>
      </c>
      <c r="O70" s="6" t="n">
        <v>83</v>
      </c>
      <c r="P70" s="5" t="inlineStr">
        <is>
          <t>Felipe Herrera</t>
        </is>
      </c>
    </row>
    <row r="71">
      <c r="A71" s="4" t="n">
        <v>58</v>
      </c>
      <c r="B71" s="5" t="inlineStr">
        <is>
          <t>Laura Herrera Torres</t>
        </is>
      </c>
      <c r="C71" s="6" t="inlineStr">
        <is>
          <t>98654126</t>
        </is>
      </c>
      <c r="D71" s="6" t="inlineStr">
        <is>
          <t>F</t>
        </is>
      </c>
      <c r="E71" s="6" t="n">
        <v>51</v>
      </c>
      <c r="F71" s="6" t="inlineStr">
        <is>
          <t>Adulto</t>
        </is>
      </c>
      <c r="G71" s="6" t="inlineStr">
        <is>
          <t>1975-05-27</t>
        </is>
      </c>
      <c r="H71" s="5" t="inlineStr">
        <is>
          <t>ALIANSALUD</t>
        </is>
      </c>
      <c r="I71" s="6" t="inlineStr">
        <is>
          <t>3475451939</t>
        </is>
      </c>
      <c r="J71" s="6" t="inlineStr">
        <is>
          <t>3314341360</t>
        </is>
      </c>
      <c r="K71" s="6" t="inlineStr">
        <is>
          <t>13:45:00</t>
        </is>
      </c>
      <c r="L71" s="5" t="inlineStr">
        <is>
          <t>PARO CARDIORESPIESTARIO</t>
        </is>
      </c>
      <c r="M71" s="11" t="inlineStr">
        <is>
          <t>T1 · ROJO</t>
        </is>
      </c>
      <c r="N71" s="6" t="n">
        <v>60</v>
      </c>
      <c r="O71" s="6" t="n">
        <v>74</v>
      </c>
      <c r="P71" s="5" t="inlineStr">
        <is>
          <t>Sofía Torres</t>
        </is>
      </c>
    </row>
    <row r="72">
      <c r="A72" s="4" t="n">
        <v>73</v>
      </c>
      <c r="B72" s="5" t="inlineStr">
        <is>
          <t>Alejandro Martínez Ramírez</t>
        </is>
      </c>
      <c r="C72" s="6" t="inlineStr">
        <is>
          <t>20801068</t>
        </is>
      </c>
      <c r="D72" s="6" t="inlineStr">
        <is>
          <t>M</t>
        </is>
      </c>
      <c r="E72" s="6" t="n">
        <v>38</v>
      </c>
      <c r="F72" s="6" t="inlineStr">
        <is>
          <t>Adulto</t>
        </is>
      </c>
      <c r="G72" s="6" t="inlineStr">
        <is>
          <t>1988-05-27</t>
        </is>
      </c>
      <c r="H72" s="5" t="inlineStr">
        <is>
          <t>SANITAS</t>
        </is>
      </c>
      <c r="I72" s="6" t="inlineStr">
        <is>
          <t>3764148822</t>
        </is>
      </c>
      <c r="J72" s="6" t="inlineStr">
        <is>
          <t>3967962647</t>
        </is>
      </c>
      <c r="K72" s="6" t="inlineStr">
        <is>
          <t>13:46:00</t>
        </is>
      </c>
      <c r="L72" s="5" t="inlineStr">
        <is>
          <t>DOLOR ABDOMINAL AGUDO</t>
        </is>
      </c>
      <c r="M72" s="7" t="inlineStr">
        <is>
          <t>T3 · AMARILLO</t>
        </is>
      </c>
      <c r="N72" s="6" t="n">
        <v>30</v>
      </c>
      <c r="O72" s="6" t="n">
        <v>83</v>
      </c>
      <c r="P72" s="5" t="inlineStr">
        <is>
          <t>Felipe Herrera</t>
        </is>
      </c>
    </row>
    <row r="73">
      <c r="A73" s="4" t="n">
        <v>86</v>
      </c>
      <c r="B73" s="5" t="inlineStr">
        <is>
          <t>Juan Bernal Pardo</t>
        </is>
      </c>
      <c r="C73" s="6" t="inlineStr">
        <is>
          <t>93411255</t>
        </is>
      </c>
      <c r="D73" s="6" t="inlineStr">
        <is>
          <t>M</t>
        </is>
      </c>
      <c r="E73" s="6" t="n">
        <v>3</v>
      </c>
      <c r="F73" s="6" t="inlineStr">
        <is>
          <t>Infante</t>
        </is>
      </c>
      <c r="G73" s="6" t="inlineStr">
        <is>
          <t>2023-05-27</t>
        </is>
      </c>
      <c r="H73" s="5" t="inlineStr">
        <is>
          <t>FAMISANAR</t>
        </is>
      </c>
      <c r="I73" s="6" t="inlineStr">
        <is>
          <t>3813079720</t>
        </is>
      </c>
      <c r="J73" s="6" t="inlineStr">
        <is>
          <t>3192705874</t>
        </is>
      </c>
      <c r="K73" s="6" t="inlineStr">
        <is>
          <t>13:49:00</t>
        </is>
      </c>
      <c r="L73" s="5" t="inlineStr">
        <is>
          <t>DOLOR LEVE / MALESTAR GENERAL</t>
        </is>
      </c>
      <c r="M73" s="9" t="inlineStr">
        <is>
          <t>T5 · AZUL</t>
        </is>
      </c>
      <c r="N73" s="6" t="n">
        <v>15</v>
      </c>
      <c r="O73" s="6" t="n">
        <v>38</v>
      </c>
      <c r="P73" s="5" t="inlineStr">
        <is>
          <t>Carlos Ramírez</t>
        </is>
      </c>
    </row>
    <row r="74">
      <c r="A74" s="4" t="n">
        <v>28</v>
      </c>
      <c r="B74" s="5" t="inlineStr">
        <is>
          <t>Alejandro Sánchez García</t>
        </is>
      </c>
      <c r="C74" s="6" t="inlineStr">
        <is>
          <t>78871995</t>
        </is>
      </c>
      <c r="D74" s="6" t="inlineStr">
        <is>
          <t>M</t>
        </is>
      </c>
      <c r="E74" s="6" t="n">
        <v>52</v>
      </c>
      <c r="F74" s="6" t="inlineStr">
        <is>
          <t>Adulto</t>
        </is>
      </c>
      <c r="G74" s="6" t="inlineStr">
        <is>
          <t>1974-05-27</t>
        </is>
      </c>
      <c r="H74" s="5" t="inlineStr">
        <is>
          <t>MEDIMAS</t>
        </is>
      </c>
      <c r="I74" s="6" t="inlineStr">
        <is>
          <t>3436207849</t>
        </is>
      </c>
      <c r="J74" s="6" t="inlineStr">
        <is>
          <t>3668937602</t>
        </is>
      </c>
      <c r="K74" s="6" t="inlineStr">
        <is>
          <t>14:02:00</t>
        </is>
      </c>
      <c r="L74" s="5" t="inlineStr">
        <is>
          <t>FRACTURA CON COMPROMISO VASCULAR</t>
        </is>
      </c>
      <c r="M74" s="7" t="inlineStr">
        <is>
          <t>T3 · AMARILLO</t>
        </is>
      </c>
      <c r="N74" s="6" t="n">
        <v>35</v>
      </c>
      <c r="O74" s="6" t="n">
        <v>24</v>
      </c>
      <c r="P74" s="5" t="inlineStr">
        <is>
          <t>Laura Gómez</t>
        </is>
      </c>
    </row>
    <row r="75">
      <c r="A75" s="4" t="n">
        <v>78</v>
      </c>
      <c r="B75" s="5" t="inlineStr">
        <is>
          <t>Felipe Díaz Ríos</t>
        </is>
      </c>
      <c r="C75" s="6" t="inlineStr">
        <is>
          <t>21800294</t>
        </is>
      </c>
      <c r="D75" s="6" t="inlineStr">
        <is>
          <t>M</t>
        </is>
      </c>
      <c r="E75" s="6" t="n">
        <v>90</v>
      </c>
      <c r="F75" s="6" t="inlineStr">
        <is>
          <t>Anciano</t>
        </is>
      </c>
      <c r="G75" s="6" t="inlineStr">
        <is>
          <t>1936-05-27</t>
        </is>
      </c>
      <c r="H75" s="5" t="inlineStr">
        <is>
          <t>CAJACOPI</t>
        </is>
      </c>
      <c r="I75" s="6" t="inlineStr">
        <is>
          <t>3485696502</t>
        </is>
      </c>
      <c r="J75" s="6" t="inlineStr">
        <is>
          <t>3225744508</t>
        </is>
      </c>
      <c r="K75" s="6" t="inlineStr">
        <is>
          <t>14:05:00</t>
        </is>
      </c>
      <c r="L75" s="5" t="inlineStr">
        <is>
          <t>FIEBRE ALTA CON CONVULSIÓN</t>
        </is>
      </c>
      <c r="M75" s="10" t="inlineStr">
        <is>
          <t>T4 · VERDE</t>
        </is>
      </c>
      <c r="N75" s="6" t="n">
        <v>25</v>
      </c>
      <c r="O75" s="6" t="n">
        <v>70</v>
      </c>
      <c r="P75" s="5" t="inlineStr">
        <is>
          <t>Sofía Torres</t>
        </is>
      </c>
    </row>
    <row r="76">
      <c r="A76" s="4" t="n">
        <v>91</v>
      </c>
      <c r="B76" s="5" t="inlineStr">
        <is>
          <t>Fernanda Reyes Pardo</t>
        </is>
      </c>
      <c r="C76" s="6" t="inlineStr">
        <is>
          <t>44841102</t>
        </is>
      </c>
      <c r="D76" s="6" t="inlineStr">
        <is>
          <t>F</t>
        </is>
      </c>
      <c r="E76" s="6" t="n">
        <v>74</v>
      </c>
      <c r="F76" s="6" t="inlineStr">
        <is>
          <t>Adulto mayor</t>
        </is>
      </c>
      <c r="G76" s="6" t="inlineStr">
        <is>
          <t>1952-05-27</t>
        </is>
      </c>
      <c r="H76" s="5" t="inlineStr">
        <is>
          <t>SURA</t>
        </is>
      </c>
      <c r="I76" s="6" t="inlineStr">
        <is>
          <t>3564063522</t>
        </is>
      </c>
      <c r="J76" s="6" t="inlineStr">
        <is>
          <t>3272428795</t>
        </is>
      </c>
      <c r="K76" s="6" t="inlineStr">
        <is>
          <t>14:06:00</t>
        </is>
      </c>
      <c r="L76" s="5" t="inlineStr">
        <is>
          <t>DIFICULTAD RESPIRATORIA SEVERA</t>
        </is>
      </c>
      <c r="M76" s="8" t="inlineStr">
        <is>
          <t>T2 · NARANJA</t>
        </is>
      </c>
      <c r="N76" s="6" t="n">
        <v>45</v>
      </c>
      <c r="O76" s="6" t="n">
        <v>54</v>
      </c>
      <c r="P76" s="5" t="inlineStr">
        <is>
          <t>Laura Gómez</t>
        </is>
      </c>
    </row>
    <row r="77">
      <c r="A77" s="4" t="n">
        <v>17</v>
      </c>
      <c r="B77" s="5" t="inlineStr">
        <is>
          <t>Claudia Medina Pardo</t>
        </is>
      </c>
      <c r="C77" s="6" t="inlineStr">
        <is>
          <t>51693043</t>
        </is>
      </c>
      <c r="D77" s="6" t="inlineStr">
        <is>
          <t>F</t>
        </is>
      </c>
      <c r="E77" s="6" t="n">
        <v>63</v>
      </c>
      <c r="F77" s="6" t="inlineStr">
        <is>
          <t>Adulto mayor</t>
        </is>
      </c>
      <c r="G77" s="6" t="inlineStr">
        <is>
          <t>1963-05-27</t>
        </is>
      </c>
      <c r="H77" s="5" t="inlineStr">
        <is>
          <t>SALUD TOTAL</t>
        </is>
      </c>
      <c r="I77" s="6" t="inlineStr">
        <is>
          <t>3264289698</t>
        </is>
      </c>
      <c r="J77" s="6" t="inlineStr">
        <is>
          <t>3388785077</t>
        </is>
      </c>
      <c r="K77" s="6" t="inlineStr">
        <is>
          <t>14:07:00</t>
        </is>
      </c>
      <c r="L77" s="5" t="inlineStr">
        <is>
          <t>FRACTURA CON COMPROMISO VASCULAR</t>
        </is>
      </c>
      <c r="M77" s="7" t="inlineStr">
        <is>
          <t>T3 · AMARILLO</t>
        </is>
      </c>
      <c r="N77" s="6" t="n">
        <v>35</v>
      </c>
      <c r="O77" s="6" t="n">
        <v>75</v>
      </c>
      <c r="P77" s="5" t="inlineStr">
        <is>
          <t>Carlos Ramírez</t>
        </is>
      </c>
    </row>
    <row r="78">
      <c r="A78" s="4" t="n">
        <v>123</v>
      </c>
      <c r="B78" s="5" t="inlineStr">
        <is>
          <t>Daniel López Medina</t>
        </is>
      </c>
      <c r="C78" s="6" t="inlineStr">
        <is>
          <t>66200705</t>
        </is>
      </c>
      <c r="D78" s="6" t="inlineStr">
        <is>
          <t>M</t>
        </is>
      </c>
      <c r="E78" s="6" t="n">
        <v>13</v>
      </c>
      <c r="F78" s="6" t="inlineStr">
        <is>
          <t>Menor de edad</t>
        </is>
      </c>
      <c r="G78" s="6" t="inlineStr">
        <is>
          <t>2013-05-27</t>
        </is>
      </c>
      <c r="H78" s="5" t="inlineStr">
        <is>
          <t>FAMISANAR</t>
        </is>
      </c>
      <c r="I78" s="6" t="inlineStr">
        <is>
          <t>3912443835</t>
        </is>
      </c>
      <c r="J78" s="6" t="inlineStr">
        <is>
          <t>3309288395</t>
        </is>
      </c>
      <c r="K78" s="6" t="inlineStr">
        <is>
          <t>14:22:00</t>
        </is>
      </c>
      <c r="L78" s="5" t="inlineStr">
        <is>
          <t>ACV / DERRAME CEREBRAL</t>
        </is>
      </c>
      <c r="M78" s="8" t="inlineStr">
        <is>
          <t>T2 · NARANJA</t>
        </is>
      </c>
      <c r="N78" s="6" t="n">
        <v>50</v>
      </c>
      <c r="O78" s="6" t="n">
        <v>38</v>
      </c>
      <c r="P78" s="5" t="inlineStr">
        <is>
          <t>Felipe Herrera</t>
        </is>
      </c>
    </row>
    <row r="79">
      <c r="A79" s="4" t="n">
        <v>82</v>
      </c>
      <c r="B79" s="5" t="inlineStr">
        <is>
          <t>Fernanda Pardo Castro</t>
        </is>
      </c>
      <c r="C79" s="6" t="inlineStr">
        <is>
          <t>96925964</t>
        </is>
      </c>
      <c r="D79" s="6" t="inlineStr">
        <is>
          <t>F</t>
        </is>
      </c>
      <c r="E79" s="6" t="n">
        <v>0</v>
      </c>
      <c r="F79" s="6" t="inlineStr">
        <is>
          <t>Neonato</t>
        </is>
      </c>
      <c r="G79" s="6" t="inlineStr">
        <is>
          <t>2026-05-27</t>
        </is>
      </c>
      <c r="H79" s="5" t="inlineStr">
        <is>
          <t>MEDIMAS</t>
        </is>
      </c>
      <c r="I79" s="6" t="inlineStr">
        <is>
          <t>3852228463</t>
        </is>
      </c>
      <c r="J79" s="6" t="inlineStr">
        <is>
          <t>3863306560</t>
        </is>
      </c>
      <c r="K79" s="6" t="inlineStr">
        <is>
          <t>14:27:00</t>
        </is>
      </c>
      <c r="L79" s="5" t="inlineStr">
        <is>
          <t>ACV / DERRAME CEREBRAL</t>
        </is>
      </c>
      <c r="M79" s="8" t="inlineStr">
        <is>
          <t>T2 · NARANJA</t>
        </is>
      </c>
      <c r="N79" s="6" t="n">
        <v>50</v>
      </c>
      <c r="O79" s="6" t="n">
        <v>119</v>
      </c>
      <c r="P79" s="5" t="inlineStr">
        <is>
          <t>Carlos Ramírez</t>
        </is>
      </c>
    </row>
    <row r="80">
      <c r="A80" s="4" t="n">
        <v>39</v>
      </c>
      <c r="B80" s="5" t="inlineStr">
        <is>
          <t>Natalia López Rodríguez</t>
        </is>
      </c>
      <c r="C80" s="6" t="inlineStr">
        <is>
          <t>54920648</t>
        </is>
      </c>
      <c r="D80" s="6" t="inlineStr">
        <is>
          <t>F</t>
        </is>
      </c>
      <c r="E80" s="6" t="n">
        <v>45</v>
      </c>
      <c r="F80" s="6" t="inlineStr">
        <is>
          <t>Adulto</t>
        </is>
      </c>
      <c r="G80" s="6" t="inlineStr">
        <is>
          <t>1981-05-27</t>
        </is>
      </c>
      <c r="H80" s="5" t="inlineStr">
        <is>
          <t>CAJACOPI</t>
        </is>
      </c>
      <c r="I80" s="6" t="inlineStr">
        <is>
          <t>3239350287</t>
        </is>
      </c>
      <c r="J80" s="6" t="inlineStr">
        <is>
          <t>3636733930</t>
        </is>
      </c>
      <c r="K80" s="6" t="inlineStr">
        <is>
          <t>14:31:00</t>
        </is>
      </c>
      <c r="L80" s="5" t="inlineStr">
        <is>
          <t>POLITRAUMATISMO GRAVE</t>
        </is>
      </c>
      <c r="M80" s="11" t="inlineStr">
        <is>
          <t>T1 · ROJO</t>
        </is>
      </c>
      <c r="N80" s="6" t="n">
        <v>90</v>
      </c>
      <c r="O80" s="6" t="n">
        <v>20</v>
      </c>
      <c r="P80" s="5" t="inlineStr">
        <is>
          <t>Carlos Ramírez</t>
        </is>
      </c>
    </row>
    <row r="81">
      <c r="A81" s="4" t="n">
        <v>81</v>
      </c>
      <c r="B81" s="5" t="inlineStr">
        <is>
          <t>Ricardo López Cruz</t>
        </is>
      </c>
      <c r="C81" s="6" t="inlineStr">
        <is>
          <t>82905235</t>
        </is>
      </c>
      <c r="D81" s="6" t="inlineStr">
        <is>
          <t>M</t>
        </is>
      </c>
      <c r="E81" s="6" t="n">
        <v>78</v>
      </c>
      <c r="F81" s="6" t="inlineStr">
        <is>
          <t>Anciano</t>
        </is>
      </c>
      <c r="G81" s="6" t="inlineStr">
        <is>
          <t>1948-05-27</t>
        </is>
      </c>
      <c r="H81" s="5" t="inlineStr">
        <is>
          <t>FAMISANAR</t>
        </is>
      </c>
      <c r="I81" s="6" t="inlineStr">
        <is>
          <t>3944555829</t>
        </is>
      </c>
      <c r="J81" s="6" t="inlineStr">
        <is>
          <t>3917500714</t>
        </is>
      </c>
      <c r="K81" s="6" t="inlineStr">
        <is>
          <t>14:32:00</t>
        </is>
      </c>
      <c r="L81" s="5" t="inlineStr">
        <is>
          <t>POLITRAUMATISMO GRAVE</t>
        </is>
      </c>
      <c r="M81" s="11" t="inlineStr">
        <is>
          <t>T1 · ROJO</t>
        </is>
      </c>
      <c r="N81" s="6" t="n">
        <v>90</v>
      </c>
      <c r="O81" s="6" t="n">
        <v>98</v>
      </c>
      <c r="P81" s="5" t="inlineStr">
        <is>
          <t>Felipe Herrera</t>
        </is>
      </c>
    </row>
    <row r="82">
      <c r="A82" s="4" t="n">
        <v>99</v>
      </c>
      <c r="B82" s="5" t="inlineStr">
        <is>
          <t>Sebastián Moreno Torres</t>
        </is>
      </c>
      <c r="C82" s="6" t="inlineStr">
        <is>
          <t>83605047</t>
        </is>
      </c>
      <c r="D82" s="6" t="inlineStr">
        <is>
          <t>M</t>
        </is>
      </c>
      <c r="E82" s="6" t="n">
        <v>3</v>
      </c>
      <c r="F82" s="6" t="inlineStr">
        <is>
          <t>Infante</t>
        </is>
      </c>
      <c r="G82" s="6" t="inlineStr">
        <is>
          <t>2023-05-27</t>
        </is>
      </c>
      <c r="H82" s="5" t="inlineStr">
        <is>
          <t>ALIANSALUD</t>
        </is>
      </c>
      <c r="I82" s="6" t="inlineStr">
        <is>
          <t>3783570847</t>
        </is>
      </c>
      <c r="J82" s="6" t="inlineStr">
        <is>
          <t>3701678438</t>
        </is>
      </c>
      <c r="K82" s="6" t="inlineStr">
        <is>
          <t>14:38:00</t>
        </is>
      </c>
      <c r="L82" s="5" t="inlineStr">
        <is>
          <t>FRACTURA CON COMPROMISO VASCULAR</t>
        </is>
      </c>
      <c r="M82" s="7" t="inlineStr">
        <is>
          <t>T3 · AMARILLO</t>
        </is>
      </c>
      <c r="N82" s="6" t="n">
        <v>35</v>
      </c>
      <c r="O82" s="6" t="n">
        <v>111</v>
      </c>
      <c r="P82" s="5" t="inlineStr">
        <is>
          <t>Laura Gómez</t>
        </is>
      </c>
    </row>
    <row r="83">
      <c r="A83" s="4" t="n">
        <v>38</v>
      </c>
      <c r="B83" s="5" t="inlineStr">
        <is>
          <t>Isabella Vargas Ospina</t>
        </is>
      </c>
      <c r="C83" s="6" t="inlineStr">
        <is>
          <t>81165547</t>
        </is>
      </c>
      <c r="D83" s="6" t="inlineStr">
        <is>
          <t>F</t>
        </is>
      </c>
      <c r="E83" s="6" t="n">
        <v>0</v>
      </c>
      <c r="F83" s="6" t="inlineStr">
        <is>
          <t>Neonato</t>
        </is>
      </c>
      <c r="G83" s="6" t="inlineStr">
        <is>
          <t>2026-05-27</t>
        </is>
      </c>
      <c r="H83" s="5" t="inlineStr">
        <is>
          <t>ALIANSALUD</t>
        </is>
      </c>
      <c r="I83" s="6" t="inlineStr">
        <is>
          <t>3196977592</t>
        </is>
      </c>
      <c r="J83" s="6" t="inlineStr">
        <is>
          <t>3702360240</t>
        </is>
      </c>
      <c r="K83" s="6" t="inlineStr">
        <is>
          <t>14:41:00</t>
        </is>
      </c>
      <c r="L83" s="5" t="inlineStr">
        <is>
          <t>CONSULTA MENOR (GRIPE, TOS)</t>
        </is>
      </c>
      <c r="M83" s="9" t="inlineStr">
        <is>
          <t>T5 · AZUL</t>
        </is>
      </c>
      <c r="N83" s="6" t="n">
        <v>10</v>
      </c>
      <c r="O83" s="6" t="n">
        <v>85</v>
      </c>
      <c r="P83" s="5" t="inlineStr">
        <is>
          <t>Felipe Herrera</t>
        </is>
      </c>
    </row>
    <row r="84">
      <c r="A84" s="4" t="n">
        <v>134</v>
      </c>
      <c r="B84" s="5" t="inlineStr">
        <is>
          <t>Juan Alvarado Vargas</t>
        </is>
      </c>
      <c r="C84" s="6" t="inlineStr">
        <is>
          <t>13231957</t>
        </is>
      </c>
      <c r="D84" s="6" t="inlineStr">
        <is>
          <t>M</t>
        </is>
      </c>
      <c r="E84" s="6" t="n">
        <v>86</v>
      </c>
      <c r="F84" s="6" t="inlineStr">
        <is>
          <t>Anciano</t>
        </is>
      </c>
      <c r="G84" s="6" t="inlineStr">
        <is>
          <t>1940-05-27</t>
        </is>
      </c>
      <c r="H84" s="5" t="inlineStr">
        <is>
          <t>FAMISANAR</t>
        </is>
      </c>
      <c r="I84" s="6" t="inlineStr">
        <is>
          <t>3542983617</t>
        </is>
      </c>
      <c r="J84" s="6" t="inlineStr">
        <is>
          <t>3439873180</t>
        </is>
      </c>
      <c r="K84" s="6" t="inlineStr">
        <is>
          <t>14:46:00</t>
        </is>
      </c>
      <c r="L84" s="5" t="inlineStr">
        <is>
          <t>CONSULTA MENOR (GRIPE, TOS)</t>
        </is>
      </c>
      <c r="M84" s="9" t="inlineStr">
        <is>
          <t>T5 · AZUL</t>
        </is>
      </c>
      <c r="N84" s="6" t="n">
        <v>10</v>
      </c>
      <c r="O84" s="6" t="n">
        <v>47</v>
      </c>
      <c r="P84" s="5" t="inlineStr">
        <is>
          <t>Andrés Martínez</t>
        </is>
      </c>
    </row>
    <row r="85">
      <c r="A85" s="4" t="n">
        <v>23</v>
      </c>
      <c r="B85" s="5" t="inlineStr">
        <is>
          <t>Miguel Reyes Moreno</t>
        </is>
      </c>
      <c r="C85" s="6" t="inlineStr">
        <is>
          <t>83465960</t>
        </is>
      </c>
      <c r="D85" s="6" t="inlineStr">
        <is>
          <t>M</t>
        </is>
      </c>
      <c r="E85" s="6" t="n">
        <v>62</v>
      </c>
      <c r="F85" s="6" t="inlineStr">
        <is>
          <t>Adulto mayor</t>
        </is>
      </c>
      <c r="G85" s="6" t="inlineStr">
        <is>
          <t>1964-05-27</t>
        </is>
      </c>
      <c r="H85" s="5" t="inlineStr">
        <is>
          <t>COMPENSAR</t>
        </is>
      </c>
      <c r="I85" s="6" t="inlineStr">
        <is>
          <t>3469585487</t>
        </is>
      </c>
      <c r="J85" s="6" t="inlineStr">
        <is>
          <t>3867443722</t>
        </is>
      </c>
      <c r="K85" s="6" t="inlineStr">
        <is>
          <t>14:52:00</t>
        </is>
      </c>
      <c r="L85" s="5" t="inlineStr">
        <is>
          <t>DOLOR ABDOMINAL AGUDO</t>
        </is>
      </c>
      <c r="M85" s="7" t="inlineStr">
        <is>
          <t>T3 · AMARILLO</t>
        </is>
      </c>
      <c r="N85" s="6" t="n">
        <v>30</v>
      </c>
      <c r="O85" s="6" t="n">
        <v>79</v>
      </c>
      <c r="P85" s="5" t="inlineStr">
        <is>
          <t>Andrés Martínez</t>
        </is>
      </c>
    </row>
    <row r="86">
      <c r="A86" s="4" t="n">
        <v>52</v>
      </c>
      <c r="B86" s="5" t="inlineStr">
        <is>
          <t>Daniela Martínez Pardo</t>
        </is>
      </c>
      <c r="C86" s="6" t="inlineStr">
        <is>
          <t>70372989</t>
        </is>
      </c>
      <c r="D86" s="6" t="inlineStr">
        <is>
          <t>F</t>
        </is>
      </c>
      <c r="E86" s="6" t="n">
        <v>82</v>
      </c>
      <c r="F86" s="6" t="inlineStr">
        <is>
          <t>Anciano</t>
        </is>
      </c>
      <c r="G86" s="6" t="inlineStr">
        <is>
          <t>1944-05-27</t>
        </is>
      </c>
      <c r="H86" s="5" t="inlineStr">
        <is>
          <t>MEDIMAS</t>
        </is>
      </c>
      <c r="I86" s="6" t="inlineStr">
        <is>
          <t>3132411765</t>
        </is>
      </c>
      <c r="J86" s="6" t="inlineStr">
        <is>
          <t>3195004644</t>
        </is>
      </c>
      <c r="K86" s="6" t="inlineStr">
        <is>
          <t>14:52:00</t>
        </is>
      </c>
      <c r="L86" s="5" t="inlineStr">
        <is>
          <t>ACV / DERRAME CEREBRAL</t>
        </is>
      </c>
      <c r="M86" s="8" t="inlineStr">
        <is>
          <t>T2 · NARANJA</t>
        </is>
      </c>
      <c r="N86" s="6" t="n">
        <v>50</v>
      </c>
      <c r="O86" s="6" t="n">
        <v>116</v>
      </c>
      <c r="P86" s="5" t="inlineStr">
        <is>
          <t>Carlos Ramírez</t>
        </is>
      </c>
    </row>
    <row r="87">
      <c r="A87" s="4" t="n">
        <v>53</v>
      </c>
      <c r="B87" s="5" t="inlineStr">
        <is>
          <t>Camilo Gómez Ospina</t>
        </is>
      </c>
      <c r="C87" s="6" t="inlineStr">
        <is>
          <t>20030521</t>
        </is>
      </c>
      <c r="D87" s="6" t="inlineStr">
        <is>
          <t>M</t>
        </is>
      </c>
      <c r="E87" s="6" t="n">
        <v>60</v>
      </c>
      <c r="F87" s="6" t="inlineStr">
        <is>
          <t>Adulto mayor</t>
        </is>
      </c>
      <c r="G87" s="6" t="inlineStr">
        <is>
          <t>1966-05-27</t>
        </is>
      </c>
      <c r="H87" s="5" t="inlineStr">
        <is>
          <t>CAJACOPI</t>
        </is>
      </c>
      <c r="I87" s="6" t="inlineStr">
        <is>
          <t>3338704501</t>
        </is>
      </c>
      <c r="J87" s="6" t="inlineStr">
        <is>
          <t>3949427850</t>
        </is>
      </c>
      <c r="K87" s="6" t="inlineStr">
        <is>
          <t>14:57:00</t>
        </is>
      </c>
      <c r="L87" s="5" t="inlineStr">
        <is>
          <t>DIFICULTAD RESPIRATORIA SEVERA</t>
        </is>
      </c>
      <c r="M87" s="8" t="inlineStr">
        <is>
          <t>T2 · NARANJA</t>
        </is>
      </c>
      <c r="N87" s="6" t="n">
        <v>45</v>
      </c>
      <c r="O87" s="6" t="n">
        <v>38</v>
      </c>
      <c r="P87" s="5" t="inlineStr">
        <is>
          <t>Laura Gómez</t>
        </is>
      </c>
    </row>
    <row r="88">
      <c r="A88" s="4" t="n">
        <v>30</v>
      </c>
      <c r="B88" s="5" t="inlineStr">
        <is>
          <t>Paula Bernal Alvarado</t>
        </is>
      </c>
      <c r="C88" s="6" t="inlineStr">
        <is>
          <t>31040007</t>
        </is>
      </c>
      <c r="D88" s="6" t="inlineStr">
        <is>
          <t>F</t>
        </is>
      </c>
      <c r="E88" s="6" t="n">
        <v>60</v>
      </c>
      <c r="F88" s="6" t="inlineStr">
        <is>
          <t>Adulto mayor</t>
        </is>
      </c>
      <c r="G88" s="6" t="inlineStr">
        <is>
          <t>1966-05-27</t>
        </is>
      </c>
      <c r="H88" s="5" t="inlineStr">
        <is>
          <t>ALIANSALUD</t>
        </is>
      </c>
      <c r="I88" s="6" t="inlineStr">
        <is>
          <t>3832028242</t>
        </is>
      </c>
      <c r="J88" s="6" t="inlineStr">
        <is>
          <t>3336715484</t>
        </is>
      </c>
      <c r="K88" s="6" t="inlineStr">
        <is>
          <t>15:13:00</t>
        </is>
      </c>
      <c r="L88" s="5" t="inlineStr">
        <is>
          <t>DIFICULTAD RESPIRATORIA SEVERA</t>
        </is>
      </c>
      <c r="M88" s="8" t="inlineStr">
        <is>
          <t>T2 · NARANJA</t>
        </is>
      </c>
      <c r="N88" s="6" t="n">
        <v>45</v>
      </c>
      <c r="O88" s="6" t="n">
        <v>86</v>
      </c>
      <c r="P88" s="5" t="inlineStr">
        <is>
          <t>Carlos Ramírez</t>
        </is>
      </c>
    </row>
    <row r="89">
      <c r="A89" s="4" t="n">
        <v>117</v>
      </c>
      <c r="B89" s="5" t="inlineStr">
        <is>
          <t>Carlos Cruz García</t>
        </is>
      </c>
      <c r="C89" s="6" t="inlineStr">
        <is>
          <t>47011884</t>
        </is>
      </c>
      <c r="D89" s="6" t="inlineStr">
        <is>
          <t>M</t>
        </is>
      </c>
      <c r="E89" s="6" t="n">
        <v>46</v>
      </c>
      <c r="F89" s="6" t="inlineStr">
        <is>
          <t>Adulto</t>
        </is>
      </c>
      <c r="G89" s="6" t="inlineStr">
        <is>
          <t>1980-05-27</t>
        </is>
      </c>
      <c r="H89" s="5" t="inlineStr">
        <is>
          <t>COOMEVA</t>
        </is>
      </c>
      <c r="I89" s="6" t="inlineStr">
        <is>
          <t>3532263653</t>
        </is>
      </c>
      <c r="J89" s="6" t="inlineStr">
        <is>
          <t>3652822664</t>
        </is>
      </c>
      <c r="K89" s="6" t="inlineStr">
        <is>
          <t>15:19:00</t>
        </is>
      </c>
      <c r="L89" s="5" t="inlineStr">
        <is>
          <t>ACV / DERRAME CEREBRAL</t>
        </is>
      </c>
      <c r="M89" s="8" t="inlineStr">
        <is>
          <t>T2 · NARANJA</t>
        </is>
      </c>
      <c r="N89" s="6" t="n">
        <v>50</v>
      </c>
      <c r="O89" s="6" t="n">
        <v>51</v>
      </c>
      <c r="P89" s="5" t="inlineStr">
        <is>
          <t>Carlos Ramírez</t>
        </is>
      </c>
    </row>
    <row r="90">
      <c r="A90" s="4" t="n">
        <v>21</v>
      </c>
      <c r="B90" s="5" t="inlineStr">
        <is>
          <t>Santiago Ramírez Cruz</t>
        </is>
      </c>
      <c r="C90" s="6" t="inlineStr">
        <is>
          <t>46722331</t>
        </is>
      </c>
      <c r="D90" s="6" t="inlineStr">
        <is>
          <t>M</t>
        </is>
      </c>
      <c r="E90" s="6" t="n">
        <v>66</v>
      </c>
      <c r="F90" s="6" t="inlineStr">
        <is>
          <t>Adulto mayor</t>
        </is>
      </c>
      <c r="G90" s="6" t="inlineStr">
        <is>
          <t>1960-05-27</t>
        </is>
      </c>
      <c r="H90" s="5" t="inlineStr">
        <is>
          <t>COOMEVA</t>
        </is>
      </c>
      <c r="I90" s="6" t="inlineStr">
        <is>
          <t>3197113070</t>
        </is>
      </c>
      <c r="J90" s="6" t="inlineStr">
        <is>
          <t>3792583718</t>
        </is>
      </c>
      <c r="K90" s="6" t="inlineStr">
        <is>
          <t>15:20:00</t>
        </is>
      </c>
      <c r="L90" s="5" t="inlineStr">
        <is>
          <t>HERIDA CON SANGRADO MODERADO</t>
        </is>
      </c>
      <c r="M90" s="10" t="inlineStr">
        <is>
          <t>T4 · VERDE</t>
        </is>
      </c>
      <c r="N90" s="6" t="n">
        <v>20</v>
      </c>
      <c r="O90" s="6" t="n">
        <v>63</v>
      </c>
      <c r="P90" s="5" t="inlineStr">
        <is>
          <t>Carlos Ramírez</t>
        </is>
      </c>
    </row>
    <row r="91">
      <c r="A91" s="4" t="n">
        <v>50</v>
      </c>
      <c r="B91" s="5" t="inlineStr">
        <is>
          <t>Valentina Cárdenas Vargas</t>
        </is>
      </c>
      <c r="C91" s="6" t="inlineStr">
        <is>
          <t>16056950</t>
        </is>
      </c>
      <c r="D91" s="6" t="inlineStr">
        <is>
          <t>F</t>
        </is>
      </c>
      <c r="E91" s="6" t="n">
        <v>32</v>
      </c>
      <c r="F91" s="6" t="inlineStr">
        <is>
          <t>Adulto</t>
        </is>
      </c>
      <c r="G91" s="6" t="inlineStr">
        <is>
          <t>1994-05-27</t>
        </is>
      </c>
      <c r="H91" s="5" t="inlineStr">
        <is>
          <t>ALIANSALUD</t>
        </is>
      </c>
      <c r="I91" s="6" t="inlineStr">
        <is>
          <t>3338720992</t>
        </is>
      </c>
      <c r="J91" s="6" t="inlineStr">
        <is>
          <t>3766918642</t>
        </is>
      </c>
      <c r="K91" s="6" t="inlineStr">
        <is>
          <t>15:32:00</t>
        </is>
      </c>
      <c r="L91" s="5" t="inlineStr">
        <is>
          <t>PARO CARDIORESPIESTARIO</t>
        </is>
      </c>
      <c r="M91" s="11" t="inlineStr">
        <is>
          <t>T1 · ROJO</t>
        </is>
      </c>
      <c r="N91" s="6" t="n">
        <v>60</v>
      </c>
      <c r="O91" s="6" t="n">
        <v>27</v>
      </c>
      <c r="P91" s="5" t="inlineStr">
        <is>
          <t>Andrés Martínez</t>
        </is>
      </c>
    </row>
    <row r="92">
      <c r="A92" s="4" t="n">
        <v>100</v>
      </c>
      <c r="B92" s="5" t="inlineStr">
        <is>
          <t>Ricardo Bernal Reyes</t>
        </is>
      </c>
      <c r="C92" s="6" t="inlineStr">
        <is>
          <t>87608015</t>
        </is>
      </c>
      <c r="D92" s="6" t="inlineStr">
        <is>
          <t>M</t>
        </is>
      </c>
      <c r="E92" s="6" t="n">
        <v>42</v>
      </c>
      <c r="F92" s="6" t="inlineStr">
        <is>
          <t>Adulto</t>
        </is>
      </c>
      <c r="G92" s="6" t="inlineStr">
        <is>
          <t>1984-05-27</t>
        </is>
      </c>
      <c r="H92" s="5" t="inlineStr">
        <is>
          <t>FAMISANAR</t>
        </is>
      </c>
      <c r="I92" s="6" t="inlineStr">
        <is>
          <t>3802769981</t>
        </is>
      </c>
      <c r="J92" s="6" t="inlineStr">
        <is>
          <t>3905765006</t>
        </is>
      </c>
      <c r="K92" s="6" t="inlineStr">
        <is>
          <t>15:32:00</t>
        </is>
      </c>
      <c r="L92" s="5" t="inlineStr">
        <is>
          <t>POLITRAUMATISMO GRAVE</t>
        </is>
      </c>
      <c r="M92" s="11" t="inlineStr">
        <is>
          <t>T1 · ROJO</t>
        </is>
      </c>
      <c r="N92" s="6" t="n">
        <v>90</v>
      </c>
      <c r="O92" s="6" t="n">
        <v>0</v>
      </c>
      <c r="P92" s="5" t="inlineStr">
        <is>
          <t>Sofía Torres</t>
        </is>
      </c>
    </row>
    <row r="93">
      <c r="A93" s="4" t="n">
        <v>56</v>
      </c>
      <c r="B93" s="5" t="inlineStr">
        <is>
          <t>Daniel Reyes Moreno</t>
        </is>
      </c>
      <c r="C93" s="6" t="inlineStr">
        <is>
          <t>40325765</t>
        </is>
      </c>
      <c r="D93" s="6" t="inlineStr">
        <is>
          <t>M</t>
        </is>
      </c>
      <c r="E93" s="6" t="n">
        <v>42</v>
      </c>
      <c r="F93" s="6" t="inlineStr">
        <is>
          <t>Adulto</t>
        </is>
      </c>
      <c r="G93" s="6" t="inlineStr">
        <is>
          <t>1984-05-27</t>
        </is>
      </c>
      <c r="H93" s="5" t="inlineStr">
        <is>
          <t>MEDIMAS</t>
        </is>
      </c>
      <c r="I93" s="6" t="inlineStr">
        <is>
          <t>3784407036</t>
        </is>
      </c>
      <c r="J93" s="6" t="inlineStr">
        <is>
          <t>3551697140</t>
        </is>
      </c>
      <c r="K93" s="6" t="inlineStr">
        <is>
          <t>15:34:00</t>
        </is>
      </c>
      <c r="L93" s="5" t="inlineStr">
        <is>
          <t>DOLOR ABDOMINAL AGUDO</t>
        </is>
      </c>
      <c r="M93" s="7" t="inlineStr">
        <is>
          <t>T3 · AMARILLO</t>
        </is>
      </c>
      <c r="N93" s="6" t="n">
        <v>30</v>
      </c>
      <c r="O93" s="6" t="n">
        <v>12</v>
      </c>
      <c r="P93" s="5" t="inlineStr">
        <is>
          <t>Felipe Herrera</t>
        </is>
      </c>
    </row>
    <row r="94">
      <c r="A94" s="4" t="n">
        <v>126</v>
      </c>
      <c r="B94" s="5" t="inlineStr">
        <is>
          <t>Carlos Pardo Cárdenas</t>
        </is>
      </c>
      <c r="C94" s="6" t="inlineStr">
        <is>
          <t>51281507</t>
        </is>
      </c>
      <c r="D94" s="6" t="inlineStr">
        <is>
          <t>M</t>
        </is>
      </c>
      <c r="E94" s="6" t="n">
        <v>49</v>
      </c>
      <c r="F94" s="6" t="inlineStr">
        <is>
          <t>Adulto</t>
        </is>
      </c>
      <c r="G94" s="6" t="inlineStr">
        <is>
          <t>1977-05-27</t>
        </is>
      </c>
      <c r="H94" s="5" t="inlineStr">
        <is>
          <t>COMPENSAR</t>
        </is>
      </c>
      <c r="I94" s="6" t="inlineStr">
        <is>
          <t>3481824148</t>
        </is>
      </c>
      <c r="J94" s="6" t="inlineStr">
        <is>
          <t>3196626132</t>
        </is>
      </c>
      <c r="K94" s="6" t="inlineStr">
        <is>
          <t>15:50:00</t>
        </is>
      </c>
      <c r="L94" s="5" t="inlineStr">
        <is>
          <t>POLITRAUMATISMO GRAVE</t>
        </is>
      </c>
      <c r="M94" s="11" t="inlineStr">
        <is>
          <t>T1 · ROJO</t>
        </is>
      </c>
      <c r="N94" s="6" t="n">
        <v>90</v>
      </c>
      <c r="O94" s="6" t="n">
        <v>61</v>
      </c>
      <c r="P94" s="5" t="inlineStr">
        <is>
          <t>Sofía Torres</t>
        </is>
      </c>
    </row>
    <row r="95">
      <c r="A95" s="4" t="n">
        <v>90</v>
      </c>
      <c r="B95" s="5" t="inlineStr">
        <is>
          <t>Mariana López Sánchez</t>
        </is>
      </c>
      <c r="C95" s="6" t="inlineStr">
        <is>
          <t>12470722</t>
        </is>
      </c>
      <c r="D95" s="6" t="inlineStr">
        <is>
          <t>F</t>
        </is>
      </c>
      <c r="E95" s="6" t="n">
        <v>85</v>
      </c>
      <c r="F95" s="6" t="inlineStr">
        <is>
          <t>Anciano</t>
        </is>
      </c>
      <c r="G95" s="6" t="inlineStr">
        <is>
          <t>1941-05-27</t>
        </is>
      </c>
      <c r="H95" s="5" t="inlineStr">
        <is>
          <t>SURA</t>
        </is>
      </c>
      <c r="I95" s="6" t="inlineStr">
        <is>
          <t>3453778019</t>
        </is>
      </c>
      <c r="J95" s="6" t="inlineStr">
        <is>
          <t>3113750479</t>
        </is>
      </c>
      <c r="K95" s="6" t="inlineStr">
        <is>
          <t>15:51:00</t>
        </is>
      </c>
      <c r="L95" s="5" t="inlineStr">
        <is>
          <t>DOLOR ABDOMINAL AGUDO</t>
        </is>
      </c>
      <c r="M95" s="7" t="inlineStr">
        <is>
          <t>T3 · AMARILLO</t>
        </is>
      </c>
      <c r="N95" s="6" t="n">
        <v>30</v>
      </c>
      <c r="O95" s="6" t="n">
        <v>84</v>
      </c>
      <c r="P95" s="5" t="inlineStr">
        <is>
          <t>Andrés Martínez</t>
        </is>
      </c>
    </row>
    <row r="96">
      <c r="A96" s="4" t="n">
        <v>15</v>
      </c>
      <c r="B96" s="5" t="inlineStr">
        <is>
          <t>Camilo Díaz Sánchez</t>
        </is>
      </c>
      <c r="C96" s="6" t="inlineStr">
        <is>
          <t>57359781</t>
        </is>
      </c>
      <c r="D96" s="6" t="inlineStr">
        <is>
          <t>M</t>
        </is>
      </c>
      <c r="E96" s="6" t="n">
        <v>63</v>
      </c>
      <c r="F96" s="6" t="inlineStr">
        <is>
          <t>Adulto mayor</t>
        </is>
      </c>
      <c r="G96" s="6" t="inlineStr">
        <is>
          <t>1963-05-27</t>
        </is>
      </c>
      <c r="H96" s="5" t="inlineStr">
        <is>
          <t>SANITAS</t>
        </is>
      </c>
      <c r="I96" s="6" t="inlineStr">
        <is>
          <t>3444960612</t>
        </is>
      </c>
      <c r="J96" s="6" t="inlineStr">
        <is>
          <t>3429534588</t>
        </is>
      </c>
      <c r="K96" s="6" t="inlineStr">
        <is>
          <t>15:56:00</t>
        </is>
      </c>
      <c r="L96" s="5" t="inlineStr">
        <is>
          <t>ACV / DERRAME CEREBRAL</t>
        </is>
      </c>
      <c r="M96" s="8" t="inlineStr">
        <is>
          <t>T2 · NARANJA</t>
        </is>
      </c>
      <c r="N96" s="6" t="n">
        <v>50</v>
      </c>
      <c r="O96" s="6" t="n">
        <v>118</v>
      </c>
      <c r="P96" s="5" t="inlineStr">
        <is>
          <t>Carlos Ramírez</t>
        </is>
      </c>
    </row>
    <row r="97">
      <c r="A97" s="4" t="n">
        <v>20</v>
      </c>
      <c r="B97" s="5" t="inlineStr">
        <is>
          <t>Alejandra Castro Medina</t>
        </is>
      </c>
      <c r="C97" s="6" t="inlineStr">
        <is>
          <t>95220024</t>
        </is>
      </c>
      <c r="D97" s="6" t="inlineStr">
        <is>
          <t>F</t>
        </is>
      </c>
      <c r="E97" s="6" t="n">
        <v>51</v>
      </c>
      <c r="F97" s="6" t="inlineStr">
        <is>
          <t>Adulto</t>
        </is>
      </c>
      <c r="G97" s="6" t="inlineStr">
        <is>
          <t>1975-05-27</t>
        </is>
      </c>
      <c r="H97" s="5" t="inlineStr">
        <is>
          <t>COOMEVA</t>
        </is>
      </c>
      <c r="I97" s="6" t="inlineStr">
        <is>
          <t>3509460376</t>
        </is>
      </c>
      <c r="J97" s="6" t="inlineStr">
        <is>
          <t>3119393769</t>
        </is>
      </c>
      <c r="K97" s="6" t="inlineStr">
        <is>
          <t>15:59:00</t>
        </is>
      </c>
      <c r="L97" s="5" t="inlineStr">
        <is>
          <t>DOLOR ABDOMINAL AGUDO</t>
        </is>
      </c>
      <c r="M97" s="7" t="inlineStr">
        <is>
          <t>T3 · AMARILLO</t>
        </is>
      </c>
      <c r="N97" s="6" t="n">
        <v>30</v>
      </c>
      <c r="O97" s="6" t="n">
        <v>83</v>
      </c>
      <c r="P97" s="5" t="inlineStr">
        <is>
          <t>Felipe Herrera</t>
        </is>
      </c>
    </row>
    <row r="98">
      <c r="A98" s="4" t="n">
        <v>115</v>
      </c>
      <c r="B98" s="5" t="inlineStr">
        <is>
          <t>Santiago Vargas Cruz</t>
        </is>
      </c>
      <c r="C98" s="6" t="inlineStr">
        <is>
          <t>10014588</t>
        </is>
      </c>
      <c r="D98" s="6" t="inlineStr">
        <is>
          <t>M</t>
        </is>
      </c>
      <c r="E98" s="6" t="n">
        <v>35</v>
      </c>
      <c r="F98" s="6" t="inlineStr">
        <is>
          <t>Adulto</t>
        </is>
      </c>
      <c r="G98" s="6" t="inlineStr">
        <is>
          <t>1991-05-27</t>
        </is>
      </c>
      <c r="H98" s="5" t="inlineStr">
        <is>
          <t>SANITAS</t>
        </is>
      </c>
      <c r="I98" s="6" t="inlineStr">
        <is>
          <t>3465651234</t>
        </is>
      </c>
      <c r="J98" s="6" t="inlineStr">
        <is>
          <t>3945658632</t>
        </is>
      </c>
      <c r="K98" s="6" t="inlineStr">
        <is>
          <t>16:01:00</t>
        </is>
      </c>
      <c r="L98" s="5" t="inlineStr">
        <is>
          <t>FIEBRE ALTA CON CONVULSIÓN</t>
        </is>
      </c>
      <c r="M98" s="10" t="inlineStr">
        <is>
          <t>T4 · VERDE</t>
        </is>
      </c>
      <c r="N98" s="6" t="n">
        <v>25</v>
      </c>
      <c r="O98" s="6" t="n">
        <v>88</v>
      </c>
      <c r="P98" s="5" t="inlineStr">
        <is>
          <t>Andrés Martínez</t>
        </is>
      </c>
    </row>
    <row r="99">
      <c r="A99" s="4" t="n">
        <v>22</v>
      </c>
      <c r="B99" s="5" t="inlineStr">
        <is>
          <t>Sofía López Ospina</t>
        </is>
      </c>
      <c r="C99" s="6" t="inlineStr">
        <is>
          <t>39930007</t>
        </is>
      </c>
      <c r="D99" s="6" t="inlineStr">
        <is>
          <t>F</t>
        </is>
      </c>
      <c r="E99" s="6" t="n">
        <v>49</v>
      </c>
      <c r="F99" s="6" t="inlineStr">
        <is>
          <t>Adulto</t>
        </is>
      </c>
      <c r="G99" s="6" t="inlineStr">
        <is>
          <t>1977-05-27</t>
        </is>
      </c>
      <c r="H99" s="5" t="inlineStr">
        <is>
          <t>ALIANSALUD</t>
        </is>
      </c>
      <c r="I99" s="6" t="inlineStr">
        <is>
          <t>3384987148</t>
        </is>
      </c>
      <c r="J99" s="6" t="inlineStr">
        <is>
          <t>3177343987</t>
        </is>
      </c>
      <c r="K99" s="6" t="inlineStr">
        <is>
          <t>16:04:00</t>
        </is>
      </c>
      <c r="L99" s="5" t="inlineStr">
        <is>
          <t>DIFICULTAD RESPIRATORIA SEVERA</t>
        </is>
      </c>
      <c r="M99" s="8" t="inlineStr">
        <is>
          <t>T2 · NARANJA</t>
        </is>
      </c>
      <c r="N99" s="6" t="n">
        <v>45</v>
      </c>
      <c r="O99" s="6" t="n">
        <v>61</v>
      </c>
      <c r="P99" s="5" t="inlineStr">
        <is>
          <t>Andrés Martínez</t>
        </is>
      </c>
    </row>
    <row r="100">
      <c r="A100" s="4" t="n">
        <v>45</v>
      </c>
      <c r="B100" s="5" t="inlineStr">
        <is>
          <t>Luis López Medina</t>
        </is>
      </c>
      <c r="C100" s="6" t="inlineStr">
        <is>
          <t>15831141</t>
        </is>
      </c>
      <c r="D100" s="6" t="inlineStr">
        <is>
          <t>M</t>
        </is>
      </c>
      <c r="E100" s="6" t="n">
        <v>0</v>
      </c>
      <c r="F100" s="6" t="inlineStr">
        <is>
          <t>Neonato</t>
        </is>
      </c>
      <c r="G100" s="6" t="inlineStr">
        <is>
          <t>2026-05-27</t>
        </is>
      </c>
      <c r="H100" s="5" t="inlineStr">
        <is>
          <t>NUEVA EPS</t>
        </is>
      </c>
      <c r="I100" s="6" t="inlineStr">
        <is>
          <t>3914719050</t>
        </is>
      </c>
      <c r="J100" s="6" t="inlineStr">
        <is>
          <t>3527672082</t>
        </is>
      </c>
      <c r="K100" s="6" t="inlineStr">
        <is>
          <t>16:12:00</t>
        </is>
      </c>
      <c r="L100" s="5" t="inlineStr">
        <is>
          <t>PARO CARDIORESPIESTARIO</t>
        </is>
      </c>
      <c r="M100" s="11" t="inlineStr">
        <is>
          <t>T1 · ROJO</t>
        </is>
      </c>
      <c r="N100" s="6" t="n">
        <v>60</v>
      </c>
      <c r="O100" s="6" t="n">
        <v>17</v>
      </c>
      <c r="P100" s="5" t="inlineStr">
        <is>
          <t>Andrés Martínez</t>
        </is>
      </c>
    </row>
    <row r="101">
      <c r="A101" s="4" t="n">
        <v>113</v>
      </c>
      <c r="B101" s="5" t="inlineStr">
        <is>
          <t>Alejandro Reyes Ramírez</t>
        </is>
      </c>
      <c r="C101" s="6" t="inlineStr">
        <is>
          <t>62873010</t>
        </is>
      </c>
      <c r="D101" s="6" t="inlineStr">
        <is>
          <t>M</t>
        </is>
      </c>
      <c r="E101" s="6" t="n">
        <v>89</v>
      </c>
      <c r="F101" s="6" t="inlineStr">
        <is>
          <t>Anciano</t>
        </is>
      </c>
      <c r="G101" s="6" t="inlineStr">
        <is>
          <t>1937-05-27</t>
        </is>
      </c>
      <c r="H101" s="5" t="inlineStr">
        <is>
          <t>SANITAS</t>
        </is>
      </c>
      <c r="I101" s="6" t="inlineStr">
        <is>
          <t>3131354980</t>
        </is>
      </c>
      <c r="J101" s="6" t="inlineStr">
        <is>
          <t>3999269198</t>
        </is>
      </c>
      <c r="K101" s="6" t="inlineStr">
        <is>
          <t>16:13:00</t>
        </is>
      </c>
      <c r="L101" s="5" t="inlineStr">
        <is>
          <t>PARO CARDIORESPIESTARIO</t>
        </is>
      </c>
      <c r="M101" s="11" t="inlineStr">
        <is>
          <t>T1 · ROJO</t>
        </is>
      </c>
      <c r="N101" s="6" t="n">
        <v>60</v>
      </c>
      <c r="O101" s="6" t="n">
        <v>115</v>
      </c>
      <c r="P101" s="5" t="inlineStr">
        <is>
          <t>Laura Gómez</t>
        </is>
      </c>
    </row>
    <row r="102">
      <c r="A102" s="4" t="n">
        <v>85</v>
      </c>
      <c r="B102" s="5" t="inlineStr">
        <is>
          <t>Laura Cárdenas Sánchez</t>
        </is>
      </c>
      <c r="C102" s="6" t="inlineStr">
        <is>
          <t>93336626</t>
        </is>
      </c>
      <c r="D102" s="6" t="inlineStr">
        <is>
          <t>F</t>
        </is>
      </c>
      <c r="E102" s="6" t="n">
        <v>27</v>
      </c>
      <c r="F102" s="6" t="inlineStr">
        <is>
          <t>Adulto</t>
        </is>
      </c>
      <c r="G102" s="6" t="inlineStr">
        <is>
          <t>1999-05-27</t>
        </is>
      </c>
      <c r="H102" s="5" t="inlineStr">
        <is>
          <t>SALUD TOTAL</t>
        </is>
      </c>
      <c r="I102" s="6" t="inlineStr">
        <is>
          <t>3716205355</t>
        </is>
      </c>
      <c r="J102" s="6" t="inlineStr">
        <is>
          <t>3723961110</t>
        </is>
      </c>
      <c r="K102" s="6" t="inlineStr">
        <is>
          <t>16:17:00</t>
        </is>
      </c>
      <c r="L102" s="5" t="inlineStr">
        <is>
          <t>FIEBRE ALTA CON CONVULSIÓN</t>
        </is>
      </c>
      <c r="M102" s="10" t="inlineStr">
        <is>
          <t>T4 · VERDE</t>
        </is>
      </c>
      <c r="N102" s="6" t="n">
        <v>25</v>
      </c>
      <c r="O102" s="6" t="n">
        <v>100</v>
      </c>
      <c r="P102" s="5" t="inlineStr">
        <is>
          <t>Carlos Ramírez</t>
        </is>
      </c>
    </row>
    <row r="103">
      <c r="A103" s="4" t="n">
        <v>54</v>
      </c>
      <c r="B103" s="5" t="inlineStr">
        <is>
          <t>Daniel Jiménez Vargas</t>
        </is>
      </c>
      <c r="C103" s="6" t="inlineStr">
        <is>
          <t>78795432</t>
        </is>
      </c>
      <c r="D103" s="6" t="inlineStr">
        <is>
          <t>M</t>
        </is>
      </c>
      <c r="E103" s="6" t="n">
        <v>38</v>
      </c>
      <c r="F103" s="6" t="inlineStr">
        <is>
          <t>Adulto</t>
        </is>
      </c>
      <c r="G103" s="6" t="inlineStr">
        <is>
          <t>1988-05-27</t>
        </is>
      </c>
      <c r="H103" s="5" t="inlineStr">
        <is>
          <t>FAMISANAR</t>
        </is>
      </c>
      <c r="I103" s="6" t="inlineStr">
        <is>
          <t>3896119353</t>
        </is>
      </c>
      <c r="J103" s="6" t="inlineStr">
        <is>
          <t>3968667185</t>
        </is>
      </c>
      <c r="K103" s="6" t="inlineStr">
        <is>
          <t>16:23:00</t>
        </is>
      </c>
      <c r="L103" s="5" t="inlineStr">
        <is>
          <t>POLITRAUMATISMO GRAVE</t>
        </is>
      </c>
      <c r="M103" s="11" t="inlineStr">
        <is>
          <t>T1 · ROJO</t>
        </is>
      </c>
      <c r="N103" s="6" t="n">
        <v>90</v>
      </c>
      <c r="O103" s="6" t="n">
        <v>26</v>
      </c>
      <c r="P103" s="5" t="inlineStr">
        <is>
          <t>Andrés Martínez</t>
        </is>
      </c>
    </row>
    <row r="104">
      <c r="A104" s="4" t="n">
        <v>125</v>
      </c>
      <c r="B104" s="5" t="inlineStr">
        <is>
          <t>Daniela Ríos Cárdenas</t>
        </is>
      </c>
      <c r="C104" s="6" t="inlineStr">
        <is>
          <t>62346749</t>
        </is>
      </c>
      <c r="D104" s="6" t="inlineStr">
        <is>
          <t>F</t>
        </is>
      </c>
      <c r="E104" s="6" t="n">
        <v>2</v>
      </c>
      <c r="F104" s="6" t="inlineStr">
        <is>
          <t>Infante</t>
        </is>
      </c>
      <c r="G104" s="6" t="inlineStr">
        <is>
          <t>2024-05-27</t>
        </is>
      </c>
      <c r="H104" s="5" t="inlineStr">
        <is>
          <t>SALUD TOTAL</t>
        </is>
      </c>
      <c r="I104" s="6" t="inlineStr">
        <is>
          <t>3371059038</t>
        </is>
      </c>
      <c r="J104" s="6" t="inlineStr">
        <is>
          <t>3893785308</t>
        </is>
      </c>
      <c r="K104" s="6" t="inlineStr">
        <is>
          <t>16:24:00</t>
        </is>
      </c>
      <c r="L104" s="5" t="inlineStr">
        <is>
          <t>DOLOR ABDOMINAL AGUDO</t>
        </is>
      </c>
      <c r="M104" s="7" t="inlineStr">
        <is>
          <t>T3 · AMARILLO</t>
        </is>
      </c>
      <c r="N104" s="6" t="n">
        <v>30</v>
      </c>
      <c r="O104" s="6" t="n">
        <v>93</v>
      </c>
      <c r="P104" s="5" t="inlineStr">
        <is>
          <t>Carlos Ramírez</t>
        </is>
      </c>
    </row>
    <row r="105">
      <c r="A105" s="4" t="n">
        <v>13</v>
      </c>
      <c r="B105" s="5" t="inlineStr">
        <is>
          <t>Claudia Gómez Castro</t>
        </is>
      </c>
      <c r="C105" s="6" t="inlineStr">
        <is>
          <t>30180614</t>
        </is>
      </c>
      <c r="D105" s="6" t="inlineStr">
        <is>
          <t>F</t>
        </is>
      </c>
      <c r="E105" s="6" t="n">
        <v>29</v>
      </c>
      <c r="F105" s="6" t="inlineStr">
        <is>
          <t>Adulto</t>
        </is>
      </c>
      <c r="G105" s="6" t="inlineStr">
        <is>
          <t>1997-05-27</t>
        </is>
      </c>
      <c r="H105" s="5" t="inlineStr">
        <is>
          <t>SALUD TOTAL</t>
        </is>
      </c>
      <c r="I105" s="6" t="inlineStr">
        <is>
          <t>3837021019</t>
        </is>
      </c>
      <c r="J105" s="6" t="inlineStr">
        <is>
          <t>3302139924</t>
        </is>
      </c>
      <c r="K105" s="6" t="inlineStr">
        <is>
          <t>16:27:00</t>
        </is>
      </c>
      <c r="L105" s="5" t="inlineStr">
        <is>
          <t>CONSULTA MENOR (GRIPE, TOS)</t>
        </is>
      </c>
      <c r="M105" s="9" t="inlineStr">
        <is>
          <t>T5 · AZUL</t>
        </is>
      </c>
      <c r="N105" s="6" t="n">
        <v>10</v>
      </c>
      <c r="O105" s="6" t="n">
        <v>52</v>
      </c>
      <c r="P105" s="5" t="inlineStr">
        <is>
          <t>Laura Gómez</t>
        </is>
      </c>
    </row>
    <row r="106">
      <c r="A106" s="4" t="n">
        <v>25</v>
      </c>
      <c r="B106" s="5" t="inlineStr">
        <is>
          <t>Natalia Jiménez Castro</t>
        </is>
      </c>
      <c r="C106" s="6" t="inlineStr">
        <is>
          <t>17476168</t>
        </is>
      </c>
      <c r="D106" s="6" t="inlineStr">
        <is>
          <t>F</t>
        </is>
      </c>
      <c r="E106" s="6" t="n">
        <v>5</v>
      </c>
      <c r="F106" s="6" t="inlineStr">
        <is>
          <t>Infante</t>
        </is>
      </c>
      <c r="G106" s="6" t="inlineStr">
        <is>
          <t>2021-05-27</t>
        </is>
      </c>
      <c r="H106" s="5" t="inlineStr">
        <is>
          <t>SANITAS</t>
        </is>
      </c>
      <c r="I106" s="6" t="inlineStr">
        <is>
          <t>3489609369</t>
        </is>
      </c>
      <c r="J106" s="6" t="inlineStr">
        <is>
          <t>3988333243</t>
        </is>
      </c>
      <c r="K106" s="6" t="inlineStr">
        <is>
          <t>16:29:00</t>
        </is>
      </c>
      <c r="L106" s="5" t="inlineStr">
        <is>
          <t>FRACTURA CON COMPROMISO VASCULAR</t>
        </is>
      </c>
      <c r="M106" s="7" t="inlineStr">
        <is>
          <t>T3 · AMARILLO</t>
        </is>
      </c>
      <c r="N106" s="6" t="n">
        <v>35</v>
      </c>
      <c r="O106" s="6" t="n">
        <v>71</v>
      </c>
      <c r="P106" s="5" t="inlineStr">
        <is>
          <t>Sofía Torres</t>
        </is>
      </c>
    </row>
    <row r="107">
      <c r="A107" s="4" t="n">
        <v>75</v>
      </c>
      <c r="B107" s="5" t="inlineStr">
        <is>
          <t>Andrés Cruz García</t>
        </is>
      </c>
      <c r="C107" s="6" t="inlineStr">
        <is>
          <t>58964606</t>
        </is>
      </c>
      <c r="D107" s="6" t="inlineStr">
        <is>
          <t>M</t>
        </is>
      </c>
      <c r="E107" s="6" t="n">
        <v>58</v>
      </c>
      <c r="F107" s="6" t="inlineStr">
        <is>
          <t>Adulto</t>
        </is>
      </c>
      <c r="G107" s="6" t="inlineStr">
        <is>
          <t>1968-05-27</t>
        </is>
      </c>
      <c r="H107" s="5" t="inlineStr">
        <is>
          <t>FAMISANAR</t>
        </is>
      </c>
      <c r="I107" s="6" t="inlineStr">
        <is>
          <t>3606742972</t>
        </is>
      </c>
      <c r="J107" s="6" t="inlineStr">
        <is>
          <t>3514628466</t>
        </is>
      </c>
      <c r="K107" s="6" t="inlineStr">
        <is>
          <t>16:30:00</t>
        </is>
      </c>
      <c r="L107" s="5" t="inlineStr">
        <is>
          <t>DOLOR LEVE / MALESTAR GENERAL</t>
        </is>
      </c>
      <c r="M107" s="9" t="inlineStr">
        <is>
          <t>T5 · AZUL</t>
        </is>
      </c>
      <c r="N107" s="6" t="n">
        <v>15</v>
      </c>
      <c r="O107" s="6" t="n">
        <v>31</v>
      </c>
      <c r="P107" s="5" t="inlineStr">
        <is>
          <t>Andrés Martínez</t>
        </is>
      </c>
    </row>
    <row r="108">
      <c r="A108" s="4" t="n">
        <v>142</v>
      </c>
      <c r="B108" s="5" t="inlineStr">
        <is>
          <t>Mariana Muñoz Ramírez</t>
        </is>
      </c>
      <c r="C108" s="6" t="inlineStr">
        <is>
          <t>58080558</t>
        </is>
      </c>
      <c r="D108" s="6" t="inlineStr">
        <is>
          <t>F</t>
        </is>
      </c>
      <c r="E108" s="6" t="n">
        <v>47</v>
      </c>
      <c r="F108" s="6" t="inlineStr">
        <is>
          <t>Adulto</t>
        </is>
      </c>
      <c r="G108" s="6" t="inlineStr">
        <is>
          <t>1979-05-27</t>
        </is>
      </c>
      <c r="H108" s="5" t="inlineStr">
        <is>
          <t>ALIANSALUD</t>
        </is>
      </c>
      <c r="I108" s="6" t="inlineStr">
        <is>
          <t>3307801818</t>
        </is>
      </c>
      <c r="J108" s="6" t="inlineStr">
        <is>
          <t>3957562943</t>
        </is>
      </c>
      <c r="K108" s="6" t="inlineStr">
        <is>
          <t>16:30:00</t>
        </is>
      </c>
      <c r="L108" s="5" t="inlineStr">
        <is>
          <t>CONSULTA MENOR (GRIPE, TOS)</t>
        </is>
      </c>
      <c r="M108" s="9" t="inlineStr">
        <is>
          <t>T5 · AZUL</t>
        </is>
      </c>
      <c r="N108" s="6" t="n">
        <v>10</v>
      </c>
      <c r="O108" s="6" t="n">
        <v>113</v>
      </c>
      <c r="P108" s="5" t="inlineStr">
        <is>
          <t>Andrés Martínez</t>
        </is>
      </c>
    </row>
    <row r="109">
      <c r="A109" s="4" t="n">
        <v>83</v>
      </c>
      <c r="B109" s="5" t="inlineStr">
        <is>
          <t>Juan Medina Torres</t>
        </is>
      </c>
      <c r="C109" s="6" t="inlineStr">
        <is>
          <t>86964953</t>
        </is>
      </c>
      <c r="D109" s="6" t="inlineStr">
        <is>
          <t>M</t>
        </is>
      </c>
      <c r="E109" s="6" t="n">
        <v>3</v>
      </c>
      <c r="F109" s="6" t="inlineStr">
        <is>
          <t>Infante</t>
        </is>
      </c>
      <c r="G109" s="6" t="inlineStr">
        <is>
          <t>2023-05-27</t>
        </is>
      </c>
      <c r="H109" s="5" t="inlineStr">
        <is>
          <t>CAJACOPI</t>
        </is>
      </c>
      <c r="I109" s="6" t="inlineStr">
        <is>
          <t>3619048490</t>
        </is>
      </c>
      <c r="J109" s="6" t="inlineStr">
        <is>
          <t>3748685024</t>
        </is>
      </c>
      <c r="K109" s="6" t="inlineStr">
        <is>
          <t>16:52:00</t>
        </is>
      </c>
      <c r="L109" s="5" t="inlineStr">
        <is>
          <t>HERIDA CON SANGRADO MODERADO</t>
        </is>
      </c>
      <c r="M109" s="10" t="inlineStr">
        <is>
          <t>T4 · VERDE</t>
        </is>
      </c>
      <c r="N109" s="6" t="n">
        <v>20</v>
      </c>
      <c r="O109" s="6" t="n">
        <v>13</v>
      </c>
      <c r="P109" s="5" t="inlineStr">
        <is>
          <t>Carlos Ramírez</t>
        </is>
      </c>
    </row>
    <row r="110">
      <c r="A110" s="4" t="n">
        <v>138</v>
      </c>
      <c r="B110" s="5" t="inlineStr">
        <is>
          <t>Mariana Cárdenas Ospina</t>
        </is>
      </c>
      <c r="C110" s="6" t="inlineStr">
        <is>
          <t>35238843</t>
        </is>
      </c>
      <c r="D110" s="6" t="inlineStr">
        <is>
          <t>F</t>
        </is>
      </c>
      <c r="E110" s="6" t="n">
        <v>13</v>
      </c>
      <c r="F110" s="6" t="inlineStr">
        <is>
          <t>Menor de edad</t>
        </is>
      </c>
      <c r="G110" s="6" t="inlineStr">
        <is>
          <t>2013-05-27</t>
        </is>
      </c>
      <c r="H110" s="5" t="inlineStr">
        <is>
          <t>CAJACOPI</t>
        </is>
      </c>
      <c r="I110" s="6" t="inlineStr">
        <is>
          <t>3111618730</t>
        </is>
      </c>
      <c r="J110" s="6" t="inlineStr">
        <is>
          <t>3958483501</t>
        </is>
      </c>
      <c r="K110" s="6" t="inlineStr">
        <is>
          <t>16:54:00</t>
        </is>
      </c>
      <c r="L110" s="5" t="inlineStr">
        <is>
          <t>DOLOR LEVE / MALESTAR GENERAL</t>
        </is>
      </c>
      <c r="M110" s="9" t="inlineStr">
        <is>
          <t>T5 · AZUL</t>
        </is>
      </c>
      <c r="N110" s="6" t="n">
        <v>15</v>
      </c>
      <c r="O110" s="6" t="n">
        <v>69</v>
      </c>
      <c r="P110" s="5" t="inlineStr">
        <is>
          <t>Laura Gómez</t>
        </is>
      </c>
    </row>
    <row r="111">
      <c r="A111" s="4" t="n">
        <v>141</v>
      </c>
      <c r="B111" s="5" t="inlineStr">
        <is>
          <t>Paula Castro Ramírez</t>
        </is>
      </c>
      <c r="C111" s="6" t="inlineStr">
        <is>
          <t>78564885</t>
        </is>
      </c>
      <c r="D111" s="6" t="inlineStr">
        <is>
          <t>F</t>
        </is>
      </c>
      <c r="E111" s="6" t="n">
        <v>61</v>
      </c>
      <c r="F111" s="6" t="inlineStr">
        <is>
          <t>Adulto mayor</t>
        </is>
      </c>
      <c r="G111" s="6" t="inlineStr">
        <is>
          <t>1965-05-27</t>
        </is>
      </c>
      <c r="H111" s="5" t="inlineStr">
        <is>
          <t>SANITAS</t>
        </is>
      </c>
      <c r="I111" s="6" t="inlineStr">
        <is>
          <t>3646504360</t>
        </is>
      </c>
      <c r="J111" s="6" t="inlineStr">
        <is>
          <t>3983040041</t>
        </is>
      </c>
      <c r="K111" s="6" t="inlineStr">
        <is>
          <t>16:58:00</t>
        </is>
      </c>
      <c r="L111" s="5" t="inlineStr">
        <is>
          <t>FIEBRE ALTA CON CONVULSIÓN</t>
        </is>
      </c>
      <c r="M111" s="10" t="inlineStr">
        <is>
          <t>T4 · VERDE</t>
        </is>
      </c>
      <c r="N111" s="6" t="n">
        <v>25</v>
      </c>
      <c r="O111" s="6" t="n">
        <v>81</v>
      </c>
      <c r="P111" s="5" t="inlineStr">
        <is>
          <t>Felipe Herrera</t>
        </is>
      </c>
    </row>
    <row r="112">
      <c r="A112" s="4" t="n">
        <v>26</v>
      </c>
      <c r="B112" s="5" t="inlineStr">
        <is>
          <t>Alejandro Martínez Bernal</t>
        </is>
      </c>
      <c r="C112" s="6" t="inlineStr">
        <is>
          <t>52114417</t>
        </is>
      </c>
      <c r="D112" s="6" t="inlineStr">
        <is>
          <t>M</t>
        </is>
      </c>
      <c r="E112" s="6" t="n">
        <v>48</v>
      </c>
      <c r="F112" s="6" t="inlineStr">
        <is>
          <t>Adulto</t>
        </is>
      </c>
      <c r="G112" s="6" t="inlineStr">
        <is>
          <t>1978-05-27</t>
        </is>
      </c>
      <c r="H112" s="5" t="inlineStr">
        <is>
          <t>COMPENSAR</t>
        </is>
      </c>
      <c r="I112" s="6" t="inlineStr">
        <is>
          <t>3838093738</t>
        </is>
      </c>
      <c r="J112" s="6" t="inlineStr">
        <is>
          <t>3565872592</t>
        </is>
      </c>
      <c r="K112" s="6" t="inlineStr">
        <is>
          <t>17:01:00</t>
        </is>
      </c>
      <c r="L112" s="5" t="inlineStr">
        <is>
          <t>DOLOR ABDOMINAL AGUDO</t>
        </is>
      </c>
      <c r="M112" s="7" t="inlineStr">
        <is>
          <t>T3 · AMARILLO</t>
        </is>
      </c>
      <c r="N112" s="6" t="n">
        <v>30</v>
      </c>
      <c r="O112" s="6" t="n">
        <v>48</v>
      </c>
      <c r="P112" s="5" t="inlineStr">
        <is>
          <t>Laura Gómez</t>
        </is>
      </c>
    </row>
    <row r="113">
      <c r="A113" s="4" t="n">
        <v>10</v>
      </c>
      <c r="B113" s="5" t="inlineStr">
        <is>
          <t>Alejandra Rodríguez Moreno</t>
        </is>
      </c>
      <c r="C113" s="6" t="inlineStr">
        <is>
          <t>52054789</t>
        </is>
      </c>
      <c r="D113" s="6" t="inlineStr">
        <is>
          <t>F</t>
        </is>
      </c>
      <c r="E113" s="6" t="n">
        <v>69</v>
      </c>
      <c r="F113" s="6" t="inlineStr">
        <is>
          <t>Adulto mayor</t>
        </is>
      </c>
      <c r="G113" s="6" t="inlineStr">
        <is>
          <t>1957-05-27</t>
        </is>
      </c>
      <c r="H113" s="5" t="inlineStr">
        <is>
          <t>CAJACOPI</t>
        </is>
      </c>
      <c r="I113" s="6" t="inlineStr">
        <is>
          <t>3624092882</t>
        </is>
      </c>
      <c r="J113" s="6" t="inlineStr">
        <is>
          <t>3568580023</t>
        </is>
      </c>
      <c r="K113" s="6" t="inlineStr">
        <is>
          <t>17:03:00</t>
        </is>
      </c>
      <c r="L113" s="5" t="inlineStr">
        <is>
          <t>CONSULTA MENOR (GRIPE, TOS)</t>
        </is>
      </c>
      <c r="M113" s="9" t="inlineStr">
        <is>
          <t>T5 · AZUL</t>
        </is>
      </c>
      <c r="N113" s="6" t="n">
        <v>10</v>
      </c>
      <c r="O113" s="6" t="n">
        <v>51</v>
      </c>
      <c r="P113" s="5" t="inlineStr">
        <is>
          <t>Carlos Ramírez</t>
        </is>
      </c>
    </row>
    <row r="114">
      <c r="A114" s="4" t="n">
        <v>133</v>
      </c>
      <c r="B114" s="5" t="inlineStr">
        <is>
          <t>Alejandro Díaz Ramírez</t>
        </is>
      </c>
      <c r="C114" s="6" t="inlineStr">
        <is>
          <t>48909564</t>
        </is>
      </c>
      <c r="D114" s="6" t="inlineStr">
        <is>
          <t>M</t>
        </is>
      </c>
      <c r="E114" s="6" t="n">
        <v>42</v>
      </c>
      <c r="F114" s="6" t="inlineStr">
        <is>
          <t>Adulto</t>
        </is>
      </c>
      <c r="G114" s="6" t="inlineStr">
        <is>
          <t>1984-05-27</t>
        </is>
      </c>
      <c r="H114" s="5" t="inlineStr">
        <is>
          <t>SALUD TOTAL</t>
        </is>
      </c>
      <c r="I114" s="6" t="inlineStr">
        <is>
          <t>3898505367</t>
        </is>
      </c>
      <c r="J114" s="6" t="inlineStr">
        <is>
          <t>3602827820</t>
        </is>
      </c>
      <c r="K114" s="6" t="inlineStr">
        <is>
          <t>17:10:00</t>
        </is>
      </c>
      <c r="L114" s="5" t="inlineStr">
        <is>
          <t>HERIDA CON SANGRADO MODERADO</t>
        </is>
      </c>
      <c r="M114" s="10" t="inlineStr">
        <is>
          <t>T4 · VERDE</t>
        </is>
      </c>
      <c r="N114" s="6" t="n">
        <v>20</v>
      </c>
      <c r="O114" s="6" t="n">
        <v>88</v>
      </c>
      <c r="P114" s="5" t="inlineStr">
        <is>
          <t>Sofía Torres</t>
        </is>
      </c>
    </row>
    <row r="115">
      <c r="A115" s="4" t="n">
        <v>61</v>
      </c>
      <c r="B115" s="5" t="inlineStr">
        <is>
          <t>Carlos García Ospina</t>
        </is>
      </c>
      <c r="C115" s="6" t="inlineStr">
        <is>
          <t>10255499</t>
        </is>
      </c>
      <c r="D115" s="6" t="inlineStr">
        <is>
          <t>M</t>
        </is>
      </c>
      <c r="E115" s="6" t="n">
        <v>29</v>
      </c>
      <c r="F115" s="6" t="inlineStr">
        <is>
          <t>Adulto</t>
        </is>
      </c>
      <c r="G115" s="6" t="inlineStr">
        <is>
          <t>1997-05-27</t>
        </is>
      </c>
      <c r="H115" s="5" t="inlineStr">
        <is>
          <t>FAMISANAR</t>
        </is>
      </c>
      <c r="I115" s="6" t="inlineStr">
        <is>
          <t>3118391059</t>
        </is>
      </c>
      <c r="J115" s="6" t="inlineStr">
        <is>
          <t>3582871769</t>
        </is>
      </c>
      <c r="K115" s="6" t="inlineStr">
        <is>
          <t>17:19:00</t>
        </is>
      </c>
      <c r="L115" s="5" t="inlineStr">
        <is>
          <t>DOLOR ABDOMINAL AGUDO</t>
        </is>
      </c>
      <c r="M115" s="7" t="inlineStr">
        <is>
          <t>T3 · AMARILLO</t>
        </is>
      </c>
      <c r="N115" s="6" t="n">
        <v>30</v>
      </c>
      <c r="O115" s="6" t="n">
        <v>20</v>
      </c>
      <c r="P115" s="5" t="inlineStr">
        <is>
          <t>Felipe Herrera</t>
        </is>
      </c>
    </row>
    <row r="116">
      <c r="A116" s="4" t="n">
        <v>95</v>
      </c>
      <c r="B116" s="5" t="inlineStr">
        <is>
          <t>David Moreno Díaz</t>
        </is>
      </c>
      <c r="C116" s="6" t="inlineStr">
        <is>
          <t>65654820</t>
        </is>
      </c>
      <c r="D116" s="6" t="inlineStr">
        <is>
          <t>M</t>
        </is>
      </c>
      <c r="E116" s="6" t="n">
        <v>20</v>
      </c>
      <c r="F116" s="6" t="inlineStr">
        <is>
          <t>Adulto</t>
        </is>
      </c>
      <c r="G116" s="6" t="inlineStr">
        <is>
          <t>2006-05-27</t>
        </is>
      </c>
      <c r="H116" s="5" t="inlineStr">
        <is>
          <t>SANITAS</t>
        </is>
      </c>
      <c r="I116" s="6" t="inlineStr">
        <is>
          <t>3466779001</t>
        </is>
      </c>
      <c r="J116" s="6" t="inlineStr">
        <is>
          <t>3614951349</t>
        </is>
      </c>
      <c r="K116" s="6" t="inlineStr">
        <is>
          <t>17:27:00</t>
        </is>
      </c>
      <c r="L116" s="5" t="inlineStr">
        <is>
          <t>ACV / DERRAME CEREBRAL</t>
        </is>
      </c>
      <c r="M116" s="8" t="inlineStr">
        <is>
          <t>T2 · NARANJA</t>
        </is>
      </c>
      <c r="N116" s="6" t="n">
        <v>50</v>
      </c>
      <c r="O116" s="6" t="n">
        <v>74</v>
      </c>
      <c r="P116" s="5" t="inlineStr">
        <is>
          <t>Andrés Martínez</t>
        </is>
      </c>
    </row>
    <row r="117">
      <c r="A117" s="4" t="n">
        <v>150</v>
      </c>
      <c r="B117" s="5" t="inlineStr">
        <is>
          <t>Nicolás Cruz Cárdenas</t>
        </is>
      </c>
      <c r="C117" s="6" t="inlineStr">
        <is>
          <t>51001963</t>
        </is>
      </c>
      <c r="D117" s="6" t="inlineStr">
        <is>
          <t>M</t>
        </is>
      </c>
      <c r="E117" s="6" t="n">
        <v>1</v>
      </c>
      <c r="F117" s="6" t="inlineStr">
        <is>
          <t>Neonato</t>
        </is>
      </c>
      <c r="G117" s="6" t="inlineStr">
        <is>
          <t>2025-05-27</t>
        </is>
      </c>
      <c r="H117" s="5" t="inlineStr">
        <is>
          <t>FAMISANAR</t>
        </is>
      </c>
      <c r="I117" s="6" t="inlineStr">
        <is>
          <t>3423624978</t>
        </is>
      </c>
      <c r="J117" s="6" t="inlineStr">
        <is>
          <t>3903125314</t>
        </is>
      </c>
      <c r="K117" s="6" t="inlineStr">
        <is>
          <t>17:28:00</t>
        </is>
      </c>
      <c r="L117" s="5" t="inlineStr">
        <is>
          <t>ACV / DERRAME CEREBRAL</t>
        </is>
      </c>
      <c r="M117" s="8" t="inlineStr">
        <is>
          <t>T2 · NARANJA</t>
        </is>
      </c>
      <c r="N117" s="6" t="n">
        <v>50</v>
      </c>
      <c r="O117" s="6" t="n">
        <v>65</v>
      </c>
      <c r="P117" s="5" t="inlineStr">
        <is>
          <t>Carlos Ramírez</t>
        </is>
      </c>
    </row>
    <row r="118">
      <c r="A118" s="4" t="n">
        <v>144</v>
      </c>
      <c r="B118" s="5" t="inlineStr">
        <is>
          <t>Mariana Rodríguez Alvarado</t>
        </is>
      </c>
      <c r="C118" s="6" t="inlineStr">
        <is>
          <t>58467761</t>
        </is>
      </c>
      <c r="D118" s="6" t="inlineStr">
        <is>
          <t>F</t>
        </is>
      </c>
      <c r="E118" s="6" t="n">
        <v>61</v>
      </c>
      <c r="F118" s="6" t="inlineStr">
        <is>
          <t>Adulto mayor</t>
        </is>
      </c>
      <c r="G118" s="6" t="inlineStr">
        <is>
          <t>1965-05-27</t>
        </is>
      </c>
      <c r="H118" s="5" t="inlineStr">
        <is>
          <t>MEDIMAS</t>
        </is>
      </c>
      <c r="I118" s="6" t="inlineStr">
        <is>
          <t>3534078007</t>
        </is>
      </c>
      <c r="J118" s="6" t="inlineStr">
        <is>
          <t>3116346672</t>
        </is>
      </c>
      <c r="K118" s="6" t="inlineStr">
        <is>
          <t>17:41:00</t>
        </is>
      </c>
      <c r="L118" s="5" t="inlineStr">
        <is>
          <t>POLITRAUMATISMO GRAVE</t>
        </is>
      </c>
      <c r="M118" s="11" t="inlineStr">
        <is>
          <t>T1 · ROJO</t>
        </is>
      </c>
      <c r="N118" s="6" t="n">
        <v>90</v>
      </c>
      <c r="O118" s="6" t="n">
        <v>46</v>
      </c>
      <c r="P118" s="5" t="inlineStr">
        <is>
          <t>Andrés Martínez</t>
        </is>
      </c>
    </row>
    <row r="119">
      <c r="A119" s="4" t="n">
        <v>4</v>
      </c>
      <c r="B119" s="5" t="inlineStr">
        <is>
          <t>Valentina Castro Martínez</t>
        </is>
      </c>
      <c r="C119" s="6" t="inlineStr">
        <is>
          <t>24797998</t>
        </is>
      </c>
      <c r="D119" s="6" t="inlineStr">
        <is>
          <t>F</t>
        </is>
      </c>
      <c r="E119" s="6" t="n">
        <v>77</v>
      </c>
      <c r="F119" s="6" t="inlineStr">
        <is>
          <t>Anciano</t>
        </is>
      </c>
      <c r="G119" s="6" t="inlineStr">
        <is>
          <t>1949-05-27</t>
        </is>
      </c>
      <c r="H119" s="5" t="inlineStr">
        <is>
          <t>NUEVA EPS</t>
        </is>
      </c>
      <c r="I119" s="6" t="inlineStr">
        <is>
          <t>3584154310</t>
        </is>
      </c>
      <c r="J119" s="6" t="inlineStr">
        <is>
          <t>3756241421</t>
        </is>
      </c>
      <c r="K119" s="6" t="inlineStr">
        <is>
          <t>17:43:00</t>
        </is>
      </c>
      <c r="L119" s="5" t="inlineStr">
        <is>
          <t>DOLOR LEVE / MALESTAR GENERAL</t>
        </is>
      </c>
      <c r="M119" s="9" t="inlineStr">
        <is>
          <t>T5 · AZUL</t>
        </is>
      </c>
      <c r="N119" s="6" t="n">
        <v>15</v>
      </c>
      <c r="O119" s="6" t="n">
        <v>88</v>
      </c>
      <c r="P119" s="5" t="inlineStr">
        <is>
          <t>Sofía Torres</t>
        </is>
      </c>
    </row>
    <row r="120">
      <c r="A120" s="4" t="n">
        <v>66</v>
      </c>
      <c r="B120" s="5" t="inlineStr">
        <is>
          <t>Fernanda Castro Ospina</t>
        </is>
      </c>
      <c r="C120" s="6" t="inlineStr">
        <is>
          <t>88478305</t>
        </is>
      </c>
      <c r="D120" s="6" t="inlineStr">
        <is>
          <t>F</t>
        </is>
      </c>
      <c r="E120" s="6" t="n">
        <v>80</v>
      </c>
      <c r="F120" s="6" t="inlineStr">
        <is>
          <t>Anciano</t>
        </is>
      </c>
      <c r="G120" s="6" t="inlineStr">
        <is>
          <t>1946-05-27</t>
        </is>
      </c>
      <c r="H120" s="5" t="inlineStr">
        <is>
          <t>SALUD TOTAL</t>
        </is>
      </c>
      <c r="I120" s="6" t="inlineStr">
        <is>
          <t>3763241495</t>
        </is>
      </c>
      <c r="J120" s="6" t="inlineStr">
        <is>
          <t>3344021195</t>
        </is>
      </c>
      <c r="K120" s="6" t="inlineStr">
        <is>
          <t>17:52:00</t>
        </is>
      </c>
      <c r="L120" s="5" t="inlineStr">
        <is>
          <t>ACV / DERRAME CEREBRAL</t>
        </is>
      </c>
      <c r="M120" s="8" t="inlineStr">
        <is>
          <t>T2 · NARANJA</t>
        </is>
      </c>
      <c r="N120" s="6" t="n">
        <v>50</v>
      </c>
      <c r="O120" s="6" t="n">
        <v>79</v>
      </c>
      <c r="P120" s="5" t="inlineStr">
        <is>
          <t>Laura Gómez</t>
        </is>
      </c>
    </row>
    <row r="121">
      <c r="A121" s="4" t="n">
        <v>128</v>
      </c>
      <c r="B121" s="5" t="inlineStr">
        <is>
          <t>Claudia Bernal Gómez</t>
        </is>
      </c>
      <c r="C121" s="6" t="inlineStr">
        <is>
          <t>51033887</t>
        </is>
      </c>
      <c r="D121" s="6" t="inlineStr">
        <is>
          <t>F</t>
        </is>
      </c>
      <c r="E121" s="6" t="n">
        <v>64</v>
      </c>
      <c r="F121" s="6" t="inlineStr">
        <is>
          <t>Adulto mayor</t>
        </is>
      </c>
      <c r="G121" s="6" t="inlineStr">
        <is>
          <t>1962-05-27</t>
        </is>
      </c>
      <c r="H121" s="5" t="inlineStr">
        <is>
          <t>NUEVA EPS</t>
        </is>
      </c>
      <c r="I121" s="6" t="inlineStr">
        <is>
          <t>3135639691</t>
        </is>
      </c>
      <c r="J121" s="6" t="inlineStr">
        <is>
          <t>3134203856</t>
        </is>
      </c>
      <c r="K121" s="6" t="inlineStr">
        <is>
          <t>17:55:00</t>
        </is>
      </c>
      <c r="L121" s="5" t="inlineStr">
        <is>
          <t>DOLOR ABDOMINAL AGUDO</t>
        </is>
      </c>
      <c r="M121" s="7" t="inlineStr">
        <is>
          <t>T3 · AMARILLO</t>
        </is>
      </c>
      <c r="N121" s="6" t="n">
        <v>30</v>
      </c>
      <c r="O121" s="6" t="n">
        <v>9</v>
      </c>
      <c r="P121" s="5" t="inlineStr">
        <is>
          <t>Laura Gómez</t>
        </is>
      </c>
    </row>
    <row r="122">
      <c r="A122" s="4" t="n">
        <v>46</v>
      </c>
      <c r="B122" s="5" t="inlineStr">
        <is>
          <t>Ana Cárdenas Alvarado</t>
        </is>
      </c>
      <c r="C122" s="6" t="inlineStr">
        <is>
          <t>44739444</t>
        </is>
      </c>
      <c r="D122" s="6" t="inlineStr">
        <is>
          <t>F</t>
        </is>
      </c>
      <c r="E122" s="6" t="n">
        <v>58</v>
      </c>
      <c r="F122" s="6" t="inlineStr">
        <is>
          <t>Adulto</t>
        </is>
      </c>
      <c r="G122" s="6" t="inlineStr">
        <is>
          <t>1968-05-27</t>
        </is>
      </c>
      <c r="H122" s="5" t="inlineStr">
        <is>
          <t>COMPENSAR</t>
        </is>
      </c>
      <c r="I122" s="6" t="inlineStr">
        <is>
          <t>3995938197</t>
        </is>
      </c>
      <c r="J122" s="6" t="inlineStr">
        <is>
          <t>3276517750</t>
        </is>
      </c>
      <c r="K122" s="6" t="inlineStr">
        <is>
          <t>17:56:00</t>
        </is>
      </c>
      <c r="L122" s="5" t="inlineStr">
        <is>
          <t>FRACTURA CON COMPROMISO VASCULAR</t>
        </is>
      </c>
      <c r="M122" s="7" t="inlineStr">
        <is>
          <t>T3 · AMARILLO</t>
        </is>
      </c>
      <c r="N122" s="6" t="n">
        <v>35</v>
      </c>
      <c r="O122" s="6" t="n">
        <v>71</v>
      </c>
      <c r="P122" s="5" t="inlineStr">
        <is>
          <t>Andrés Martínez</t>
        </is>
      </c>
    </row>
    <row r="123">
      <c r="A123" s="4" t="n">
        <v>94</v>
      </c>
      <c r="B123" s="5" t="inlineStr">
        <is>
          <t>Natalia Sánchez Moreno</t>
        </is>
      </c>
      <c r="C123" s="6" t="inlineStr">
        <is>
          <t>22987437</t>
        </is>
      </c>
      <c r="D123" s="6" t="inlineStr">
        <is>
          <t>F</t>
        </is>
      </c>
      <c r="E123" s="6" t="n">
        <v>0</v>
      </c>
      <c r="F123" s="6" t="inlineStr">
        <is>
          <t>Neonato</t>
        </is>
      </c>
      <c r="G123" s="6" t="inlineStr">
        <is>
          <t>2026-05-27</t>
        </is>
      </c>
      <c r="H123" s="5" t="inlineStr">
        <is>
          <t>MEDIMAS</t>
        </is>
      </c>
      <c r="I123" s="6" t="inlineStr">
        <is>
          <t>3296282568</t>
        </is>
      </c>
      <c r="J123" s="6" t="inlineStr">
        <is>
          <t>3758891043</t>
        </is>
      </c>
      <c r="K123" s="6" t="inlineStr">
        <is>
          <t>18:01:00</t>
        </is>
      </c>
      <c r="L123" s="5" t="inlineStr">
        <is>
          <t>PARO CARDIORESPIESTARIO</t>
        </is>
      </c>
      <c r="M123" s="11" t="inlineStr">
        <is>
          <t>T1 · ROJO</t>
        </is>
      </c>
      <c r="N123" s="6" t="n">
        <v>60</v>
      </c>
      <c r="O123" s="6" t="n">
        <v>84</v>
      </c>
      <c r="P123" s="5" t="inlineStr">
        <is>
          <t>Felipe Herrera</t>
        </is>
      </c>
    </row>
    <row r="124">
      <c r="A124" s="4" t="n">
        <v>102</v>
      </c>
      <c r="B124" s="5" t="inlineStr">
        <is>
          <t>Alejandro Torres Moreno</t>
        </is>
      </c>
      <c r="C124" s="6" t="inlineStr">
        <is>
          <t>92118072</t>
        </is>
      </c>
      <c r="D124" s="6" t="inlineStr">
        <is>
          <t>M</t>
        </is>
      </c>
      <c r="E124" s="6" t="n">
        <v>78</v>
      </c>
      <c r="F124" s="6" t="inlineStr">
        <is>
          <t>Anciano</t>
        </is>
      </c>
      <c r="G124" s="6" t="inlineStr">
        <is>
          <t>1948-05-27</t>
        </is>
      </c>
      <c r="H124" s="5" t="inlineStr">
        <is>
          <t>COMPENSAR</t>
        </is>
      </c>
      <c r="I124" s="6" t="inlineStr">
        <is>
          <t>3652827128</t>
        </is>
      </c>
      <c r="J124" s="6" t="inlineStr">
        <is>
          <t>3955743487</t>
        </is>
      </c>
      <c r="K124" s="6" t="inlineStr">
        <is>
          <t>18:04:00</t>
        </is>
      </c>
      <c r="L124" s="5" t="inlineStr">
        <is>
          <t>DOLOR ABDOMINAL AGUDO</t>
        </is>
      </c>
      <c r="M124" s="7" t="inlineStr">
        <is>
          <t>T3 · AMARILLO</t>
        </is>
      </c>
      <c r="N124" s="6" t="n">
        <v>30</v>
      </c>
      <c r="O124" s="6" t="n">
        <v>54</v>
      </c>
      <c r="P124" s="5" t="inlineStr">
        <is>
          <t>Carlos Ramírez</t>
        </is>
      </c>
    </row>
    <row r="125">
      <c r="A125" s="4" t="n">
        <v>140</v>
      </c>
      <c r="B125" s="5" t="inlineStr">
        <is>
          <t>Camilo Torres Herrera</t>
        </is>
      </c>
      <c r="C125" s="6" t="inlineStr">
        <is>
          <t>91050927</t>
        </is>
      </c>
      <c r="D125" s="6" t="inlineStr">
        <is>
          <t>M</t>
        </is>
      </c>
      <c r="E125" s="6" t="n">
        <v>43</v>
      </c>
      <c r="F125" s="6" t="inlineStr">
        <is>
          <t>Adulto</t>
        </is>
      </c>
      <c r="G125" s="6" t="inlineStr">
        <is>
          <t>1983-05-27</t>
        </is>
      </c>
      <c r="H125" s="5" t="inlineStr">
        <is>
          <t>SANITAS</t>
        </is>
      </c>
      <c r="I125" s="6" t="inlineStr">
        <is>
          <t>3671020790</t>
        </is>
      </c>
      <c r="J125" s="6" t="inlineStr">
        <is>
          <t>3984054754</t>
        </is>
      </c>
      <c r="K125" s="6" t="inlineStr">
        <is>
          <t>18:05:00</t>
        </is>
      </c>
      <c r="L125" s="5" t="inlineStr">
        <is>
          <t>FRACTURA CON COMPROMISO VASCULAR</t>
        </is>
      </c>
      <c r="M125" s="7" t="inlineStr">
        <is>
          <t>T3 · AMARILLO</t>
        </is>
      </c>
      <c r="N125" s="6" t="n">
        <v>35</v>
      </c>
      <c r="O125" s="6" t="n">
        <v>80</v>
      </c>
      <c r="P125" s="5" t="inlineStr">
        <is>
          <t>Carlos Ramírez</t>
        </is>
      </c>
    </row>
    <row r="126">
      <c r="A126" s="4" t="n">
        <v>74</v>
      </c>
      <c r="B126" s="5" t="inlineStr">
        <is>
          <t>Paula Gómez Sánchez</t>
        </is>
      </c>
      <c r="C126" s="6" t="inlineStr">
        <is>
          <t>38140652</t>
        </is>
      </c>
      <c r="D126" s="6" t="inlineStr">
        <is>
          <t>F</t>
        </is>
      </c>
      <c r="E126" s="6" t="n">
        <v>69</v>
      </c>
      <c r="F126" s="6" t="inlineStr">
        <is>
          <t>Adulto mayor</t>
        </is>
      </c>
      <c r="G126" s="6" t="inlineStr">
        <is>
          <t>1957-05-27</t>
        </is>
      </c>
      <c r="H126" s="5" t="inlineStr">
        <is>
          <t>ALIANSALUD</t>
        </is>
      </c>
      <c r="I126" s="6" t="inlineStr">
        <is>
          <t>3273528963</t>
        </is>
      </c>
      <c r="J126" s="6" t="inlineStr">
        <is>
          <t>3828216543</t>
        </is>
      </c>
      <c r="K126" s="6" t="inlineStr">
        <is>
          <t>18:10:00</t>
        </is>
      </c>
      <c r="L126" s="5" t="inlineStr">
        <is>
          <t>FIEBRE ALTA CON CONVULSIÓN</t>
        </is>
      </c>
      <c r="M126" s="10" t="inlineStr">
        <is>
          <t>T4 · VERDE</t>
        </is>
      </c>
      <c r="N126" s="6" t="n">
        <v>25</v>
      </c>
      <c r="O126" s="6" t="n">
        <v>39</v>
      </c>
      <c r="P126" s="5" t="inlineStr">
        <is>
          <t>Laura Gómez</t>
        </is>
      </c>
    </row>
    <row r="127">
      <c r="A127" s="4" t="n">
        <v>60</v>
      </c>
      <c r="B127" s="5" t="inlineStr">
        <is>
          <t>Juliana Moreno Ríos</t>
        </is>
      </c>
      <c r="C127" s="6" t="inlineStr">
        <is>
          <t>74972726</t>
        </is>
      </c>
      <c r="D127" s="6" t="inlineStr">
        <is>
          <t>F</t>
        </is>
      </c>
      <c r="E127" s="6" t="n">
        <v>63</v>
      </c>
      <c r="F127" s="6" t="inlineStr">
        <is>
          <t>Adulto mayor</t>
        </is>
      </c>
      <c r="G127" s="6" t="inlineStr">
        <is>
          <t>1963-05-27</t>
        </is>
      </c>
      <c r="H127" s="5" t="inlineStr">
        <is>
          <t>CAJACOPI</t>
        </is>
      </c>
      <c r="I127" s="6" t="inlineStr">
        <is>
          <t>3272990532</t>
        </is>
      </c>
      <c r="J127" s="6" t="inlineStr">
        <is>
          <t>3627049880</t>
        </is>
      </c>
      <c r="K127" s="6" t="inlineStr">
        <is>
          <t>18:11:00</t>
        </is>
      </c>
      <c r="L127" s="5" t="inlineStr">
        <is>
          <t>HERIDA CON SANGRADO MODERADO</t>
        </is>
      </c>
      <c r="M127" s="10" t="inlineStr">
        <is>
          <t>T4 · VERDE</t>
        </is>
      </c>
      <c r="N127" s="6" t="n">
        <v>20</v>
      </c>
      <c r="O127" s="6" t="n">
        <v>96</v>
      </c>
      <c r="P127" s="5" t="inlineStr">
        <is>
          <t>Laura Gómez</t>
        </is>
      </c>
    </row>
    <row r="128">
      <c r="A128" s="4" t="n">
        <v>80</v>
      </c>
      <c r="B128" s="5" t="inlineStr">
        <is>
          <t>Natalia Díaz Muñoz</t>
        </is>
      </c>
      <c r="C128" s="6" t="inlineStr">
        <is>
          <t>96371112</t>
        </is>
      </c>
      <c r="D128" s="6" t="inlineStr">
        <is>
          <t>F</t>
        </is>
      </c>
      <c r="E128" s="6" t="n">
        <v>75</v>
      </c>
      <c r="F128" s="6" t="inlineStr">
        <is>
          <t>Anciano</t>
        </is>
      </c>
      <c r="G128" s="6" t="inlineStr">
        <is>
          <t>1951-05-27</t>
        </is>
      </c>
      <c r="H128" s="5" t="inlineStr">
        <is>
          <t>SANITAS</t>
        </is>
      </c>
      <c r="I128" s="6" t="inlineStr">
        <is>
          <t>3467074494</t>
        </is>
      </c>
      <c r="J128" s="6" t="inlineStr">
        <is>
          <t>3843052759</t>
        </is>
      </c>
      <c r="K128" s="6" t="inlineStr">
        <is>
          <t>18:17:00</t>
        </is>
      </c>
      <c r="L128" s="5" t="inlineStr">
        <is>
          <t>DIFICULTAD RESPIRATORIA SEVERA</t>
        </is>
      </c>
      <c r="M128" s="8" t="inlineStr">
        <is>
          <t>T2 · NARANJA</t>
        </is>
      </c>
      <c r="N128" s="6" t="n">
        <v>45</v>
      </c>
      <c r="O128" s="6" t="n">
        <v>19</v>
      </c>
      <c r="P128" s="5" t="inlineStr">
        <is>
          <t>Carlos Ramírez</t>
        </is>
      </c>
    </row>
    <row r="129">
      <c r="A129" s="4" t="n">
        <v>97</v>
      </c>
      <c r="B129" s="5" t="inlineStr">
        <is>
          <t>Daniel Ramírez Alvarado</t>
        </is>
      </c>
      <c r="C129" s="6" t="inlineStr">
        <is>
          <t>63394220</t>
        </is>
      </c>
      <c r="D129" s="6" t="inlineStr">
        <is>
          <t>M</t>
        </is>
      </c>
      <c r="E129" s="6" t="n">
        <v>67</v>
      </c>
      <c r="F129" s="6" t="inlineStr">
        <is>
          <t>Adulto mayor</t>
        </is>
      </c>
      <c r="G129" s="6" t="inlineStr">
        <is>
          <t>1959-05-27</t>
        </is>
      </c>
      <c r="H129" s="5" t="inlineStr">
        <is>
          <t>COMPENSAR</t>
        </is>
      </c>
      <c r="I129" s="6" t="inlineStr">
        <is>
          <t>3901935760</t>
        </is>
      </c>
      <c r="J129" s="6" t="inlineStr">
        <is>
          <t>3648357066</t>
        </is>
      </c>
      <c r="K129" s="6" t="inlineStr">
        <is>
          <t>18:25:00</t>
        </is>
      </c>
      <c r="L129" s="5" t="inlineStr">
        <is>
          <t>HERIDA CON SANGRADO MODERADO</t>
        </is>
      </c>
      <c r="M129" s="10" t="inlineStr">
        <is>
          <t>T4 · VERDE</t>
        </is>
      </c>
      <c r="N129" s="6" t="n">
        <v>20</v>
      </c>
      <c r="O129" s="6" t="n">
        <v>93</v>
      </c>
      <c r="P129" s="5" t="inlineStr">
        <is>
          <t>Andrés Martínez</t>
        </is>
      </c>
    </row>
    <row r="130">
      <c r="A130" s="4" t="n">
        <v>105</v>
      </c>
      <c r="B130" s="5" t="inlineStr">
        <is>
          <t>Daniela Martínez Alvarado</t>
        </is>
      </c>
      <c r="C130" s="6" t="inlineStr">
        <is>
          <t>77182810</t>
        </is>
      </c>
      <c r="D130" s="6" t="inlineStr">
        <is>
          <t>F</t>
        </is>
      </c>
      <c r="E130" s="6" t="n">
        <v>70</v>
      </c>
      <c r="F130" s="6" t="inlineStr">
        <is>
          <t>Adulto mayor</t>
        </is>
      </c>
      <c r="G130" s="6" t="inlineStr">
        <is>
          <t>1956-05-27</t>
        </is>
      </c>
      <c r="H130" s="5" t="inlineStr">
        <is>
          <t>CAJACOPI</t>
        </is>
      </c>
      <c r="I130" s="6" t="inlineStr">
        <is>
          <t>3925837918</t>
        </is>
      </c>
      <c r="J130" s="6" t="inlineStr">
        <is>
          <t>3922253859</t>
        </is>
      </c>
      <c r="K130" s="6" t="inlineStr">
        <is>
          <t>18:26:00</t>
        </is>
      </c>
      <c r="L130" s="5" t="inlineStr">
        <is>
          <t>CONSULTA MENOR (GRIPE, TOS)</t>
        </is>
      </c>
      <c r="M130" s="9" t="inlineStr">
        <is>
          <t>T5 · AZUL</t>
        </is>
      </c>
      <c r="N130" s="6" t="n">
        <v>10</v>
      </c>
      <c r="O130" s="6" t="n">
        <v>87</v>
      </c>
      <c r="P130" s="5" t="inlineStr">
        <is>
          <t>Carlos Ramírez</t>
        </is>
      </c>
    </row>
    <row r="131">
      <c r="A131" s="4" t="n">
        <v>42</v>
      </c>
      <c r="B131" s="5" t="inlineStr">
        <is>
          <t>Miguel Medina Rodríguez</t>
        </is>
      </c>
      <c r="C131" s="6" t="inlineStr">
        <is>
          <t>61351138</t>
        </is>
      </c>
      <c r="D131" s="6" t="inlineStr">
        <is>
          <t>M</t>
        </is>
      </c>
      <c r="E131" s="6" t="n">
        <v>22</v>
      </c>
      <c r="F131" s="6" t="inlineStr">
        <is>
          <t>Adulto</t>
        </is>
      </c>
      <c r="G131" s="6" t="inlineStr">
        <is>
          <t>2004-05-27</t>
        </is>
      </c>
      <c r="H131" s="5" t="inlineStr">
        <is>
          <t>FAMISANAR</t>
        </is>
      </c>
      <c r="I131" s="6" t="inlineStr">
        <is>
          <t>3346184934</t>
        </is>
      </c>
      <c r="J131" s="6" t="inlineStr">
        <is>
          <t>3189404677</t>
        </is>
      </c>
      <c r="K131" s="6" t="inlineStr">
        <is>
          <t>18:27:00</t>
        </is>
      </c>
      <c r="L131" s="5" t="inlineStr">
        <is>
          <t>DIFICULTAD RESPIRATORIA SEVERA</t>
        </is>
      </c>
      <c r="M131" s="8" t="inlineStr">
        <is>
          <t>T2 · NARANJA</t>
        </is>
      </c>
      <c r="N131" s="6" t="n">
        <v>45</v>
      </c>
      <c r="O131" s="6" t="n">
        <v>82</v>
      </c>
      <c r="P131" s="5" t="inlineStr">
        <is>
          <t>Sofía Torres</t>
        </is>
      </c>
    </row>
    <row r="132">
      <c r="A132" s="4" t="n">
        <v>110</v>
      </c>
      <c r="B132" s="5" t="inlineStr">
        <is>
          <t>Andrés Martínez Bernal</t>
        </is>
      </c>
      <c r="C132" s="6" t="inlineStr">
        <is>
          <t>92844557</t>
        </is>
      </c>
      <c r="D132" s="6" t="inlineStr">
        <is>
          <t>M</t>
        </is>
      </c>
      <c r="E132" s="6" t="n">
        <v>81</v>
      </c>
      <c r="F132" s="6" t="inlineStr">
        <is>
          <t>Anciano</t>
        </is>
      </c>
      <c r="G132" s="6" t="inlineStr">
        <is>
          <t>1945-05-27</t>
        </is>
      </c>
      <c r="H132" s="5" t="inlineStr">
        <is>
          <t>MEDIMAS</t>
        </is>
      </c>
      <c r="I132" s="6" t="inlineStr">
        <is>
          <t>3257640811</t>
        </is>
      </c>
      <c r="J132" s="6" t="inlineStr">
        <is>
          <t>3729802556</t>
        </is>
      </c>
      <c r="K132" s="6" t="inlineStr">
        <is>
          <t>18:33:00</t>
        </is>
      </c>
      <c r="L132" s="5" t="inlineStr">
        <is>
          <t>ACV / DERRAME CEREBRAL</t>
        </is>
      </c>
      <c r="M132" s="8" t="inlineStr">
        <is>
          <t>T2 · NARANJA</t>
        </is>
      </c>
      <c r="N132" s="6" t="n">
        <v>50</v>
      </c>
      <c r="O132" s="6" t="n">
        <v>57</v>
      </c>
      <c r="P132" s="5" t="inlineStr">
        <is>
          <t>Laura Gómez</t>
        </is>
      </c>
    </row>
    <row r="133">
      <c r="A133" s="4" t="n">
        <v>98</v>
      </c>
      <c r="B133" s="5" t="inlineStr">
        <is>
          <t>Juliana Reyes Vargas</t>
        </is>
      </c>
      <c r="C133" s="6" t="inlineStr">
        <is>
          <t>32851104</t>
        </is>
      </c>
      <c r="D133" s="6" t="inlineStr">
        <is>
          <t>F</t>
        </is>
      </c>
      <c r="E133" s="6" t="n">
        <v>40</v>
      </c>
      <c r="F133" s="6" t="inlineStr">
        <is>
          <t>Adulto</t>
        </is>
      </c>
      <c r="G133" s="6" t="inlineStr">
        <is>
          <t>1986-05-27</t>
        </is>
      </c>
      <c r="H133" s="5" t="inlineStr">
        <is>
          <t>NUEVA EPS</t>
        </is>
      </c>
      <c r="I133" s="6" t="inlineStr">
        <is>
          <t>3307719823</t>
        </is>
      </c>
      <c r="J133" s="6" t="inlineStr">
        <is>
          <t>3825411525</t>
        </is>
      </c>
      <c r="K133" s="6" t="inlineStr">
        <is>
          <t>18:39:00</t>
        </is>
      </c>
      <c r="L133" s="5" t="inlineStr">
        <is>
          <t>HERIDA CON SANGRADO MODERADO</t>
        </is>
      </c>
      <c r="M133" s="10" t="inlineStr">
        <is>
          <t>T4 · VERDE</t>
        </is>
      </c>
      <c r="N133" s="6" t="n">
        <v>20</v>
      </c>
      <c r="O133" s="6" t="n">
        <v>85</v>
      </c>
      <c r="P133" s="5" t="inlineStr">
        <is>
          <t>Sofía Torres</t>
        </is>
      </c>
    </row>
    <row r="134">
      <c r="A134" s="4" t="n">
        <v>47</v>
      </c>
      <c r="B134" s="5" t="inlineStr">
        <is>
          <t>Miguel Medina Alvarado</t>
        </is>
      </c>
      <c r="C134" s="6" t="inlineStr">
        <is>
          <t>74494586</t>
        </is>
      </c>
      <c r="D134" s="6" t="inlineStr">
        <is>
          <t>M</t>
        </is>
      </c>
      <c r="E134" s="6" t="n">
        <v>61</v>
      </c>
      <c r="F134" s="6" t="inlineStr">
        <is>
          <t>Adulto mayor</t>
        </is>
      </c>
      <c r="G134" s="6" t="inlineStr">
        <is>
          <t>1965-05-27</t>
        </is>
      </c>
      <c r="H134" s="5" t="inlineStr">
        <is>
          <t>SALUD TOTAL</t>
        </is>
      </c>
      <c r="I134" s="6" t="inlineStr">
        <is>
          <t>3216097631</t>
        </is>
      </c>
      <c r="J134" s="6" t="inlineStr">
        <is>
          <t>3735324433</t>
        </is>
      </c>
      <c r="K134" s="6" t="inlineStr">
        <is>
          <t>18:40:00</t>
        </is>
      </c>
      <c r="L134" s="5" t="inlineStr">
        <is>
          <t>FRACTURA CON COMPROMISO VASCULAR</t>
        </is>
      </c>
      <c r="M134" s="7" t="inlineStr">
        <is>
          <t>T3 · AMARILLO</t>
        </is>
      </c>
      <c r="N134" s="6" t="n">
        <v>35</v>
      </c>
      <c r="O134" s="6" t="n">
        <v>62</v>
      </c>
      <c r="P134" s="5" t="inlineStr">
        <is>
          <t>Sofía Torres</t>
        </is>
      </c>
    </row>
    <row r="135">
      <c r="A135" s="4" t="n">
        <v>101</v>
      </c>
      <c r="B135" s="5" t="inlineStr">
        <is>
          <t>Ana Morales Cárdenas</t>
        </is>
      </c>
      <c r="C135" s="6" t="inlineStr">
        <is>
          <t>94482187</t>
        </is>
      </c>
      <c r="D135" s="6" t="inlineStr">
        <is>
          <t>F</t>
        </is>
      </c>
      <c r="E135" s="6" t="n">
        <v>58</v>
      </c>
      <c r="F135" s="6" t="inlineStr">
        <is>
          <t>Adulto</t>
        </is>
      </c>
      <c r="G135" s="6" t="inlineStr">
        <is>
          <t>1968-05-27</t>
        </is>
      </c>
      <c r="H135" s="5" t="inlineStr">
        <is>
          <t>ALIANSALUD</t>
        </is>
      </c>
      <c r="I135" s="6" t="inlineStr">
        <is>
          <t>3148304423</t>
        </is>
      </c>
      <c r="J135" s="6" t="inlineStr">
        <is>
          <t>3302200228</t>
        </is>
      </c>
      <c r="K135" s="6" t="inlineStr">
        <is>
          <t>18:40:00</t>
        </is>
      </c>
      <c r="L135" s="5" t="inlineStr">
        <is>
          <t>DOLOR ABDOMINAL AGUDO</t>
        </is>
      </c>
      <c r="M135" s="7" t="inlineStr">
        <is>
          <t>T3 · AMARILLO</t>
        </is>
      </c>
      <c r="N135" s="6" t="n">
        <v>30</v>
      </c>
      <c r="O135" s="6" t="n">
        <v>32</v>
      </c>
      <c r="P135" s="5" t="inlineStr">
        <is>
          <t>Felipe Herrera</t>
        </is>
      </c>
    </row>
    <row r="136">
      <c r="A136" s="4" t="n">
        <v>149</v>
      </c>
      <c r="B136" s="5" t="inlineStr">
        <is>
          <t>Juan Medina Moreno</t>
        </is>
      </c>
      <c r="C136" s="6" t="inlineStr">
        <is>
          <t>69374034</t>
        </is>
      </c>
      <c r="D136" s="6" t="inlineStr">
        <is>
          <t>M</t>
        </is>
      </c>
      <c r="E136" s="6" t="n">
        <v>81</v>
      </c>
      <c r="F136" s="6" t="inlineStr">
        <is>
          <t>Anciano</t>
        </is>
      </c>
      <c r="G136" s="6" t="inlineStr">
        <is>
          <t>1945-05-27</t>
        </is>
      </c>
      <c r="H136" s="5" t="inlineStr">
        <is>
          <t>FAMISANAR</t>
        </is>
      </c>
      <c r="I136" s="6" t="inlineStr">
        <is>
          <t>3198336824</t>
        </is>
      </c>
      <c r="J136" s="6" t="inlineStr">
        <is>
          <t>3724179908</t>
        </is>
      </c>
      <c r="K136" s="6" t="inlineStr">
        <is>
          <t>18:41:00</t>
        </is>
      </c>
      <c r="L136" s="5" t="inlineStr">
        <is>
          <t>FIEBRE ALTA CON CONVULSIÓN</t>
        </is>
      </c>
      <c r="M136" s="10" t="inlineStr">
        <is>
          <t>T4 · VERDE</t>
        </is>
      </c>
      <c r="N136" s="6" t="n">
        <v>25</v>
      </c>
      <c r="O136" s="6" t="n">
        <v>102</v>
      </c>
      <c r="P136" s="5" t="inlineStr">
        <is>
          <t>Carlos Ramírez</t>
        </is>
      </c>
    </row>
    <row r="137">
      <c r="A137" s="4" t="n">
        <v>103</v>
      </c>
      <c r="B137" s="5" t="inlineStr">
        <is>
          <t>Fernanda Bernal Cárdenas</t>
        </is>
      </c>
      <c r="C137" s="6" t="inlineStr">
        <is>
          <t>60092320</t>
        </is>
      </c>
      <c r="D137" s="6" t="inlineStr">
        <is>
          <t>F</t>
        </is>
      </c>
      <c r="E137" s="6" t="n">
        <v>29</v>
      </c>
      <c r="F137" s="6" t="inlineStr">
        <is>
          <t>Adulto</t>
        </is>
      </c>
      <c r="G137" s="6" t="inlineStr">
        <is>
          <t>1997-05-27</t>
        </is>
      </c>
      <c r="H137" s="5" t="inlineStr">
        <is>
          <t>SURA</t>
        </is>
      </c>
      <c r="I137" s="6" t="inlineStr">
        <is>
          <t>3229631505</t>
        </is>
      </c>
      <c r="J137" s="6" t="inlineStr">
        <is>
          <t>3979604623</t>
        </is>
      </c>
      <c r="K137" s="6" t="inlineStr">
        <is>
          <t>18:45:00</t>
        </is>
      </c>
      <c r="L137" s="5" t="inlineStr">
        <is>
          <t>PARO CARDIORESPIESTARIO</t>
        </is>
      </c>
      <c r="M137" s="11" t="inlineStr">
        <is>
          <t>T1 · ROJO</t>
        </is>
      </c>
      <c r="N137" s="6" t="n">
        <v>60</v>
      </c>
      <c r="O137" s="6" t="n">
        <v>118</v>
      </c>
      <c r="P137" s="5" t="inlineStr">
        <is>
          <t>Andrés Martínez</t>
        </is>
      </c>
    </row>
    <row r="138">
      <c r="A138" s="4" t="n">
        <v>84</v>
      </c>
      <c r="B138" s="5" t="inlineStr">
        <is>
          <t>Camila Ramírez Medina</t>
        </is>
      </c>
      <c r="C138" s="6" t="inlineStr">
        <is>
          <t>68298087</t>
        </is>
      </c>
      <c r="D138" s="6" t="inlineStr">
        <is>
          <t>F</t>
        </is>
      </c>
      <c r="E138" s="6" t="n">
        <v>58</v>
      </c>
      <c r="F138" s="6" t="inlineStr">
        <is>
          <t>Adulto</t>
        </is>
      </c>
      <c r="G138" s="6" t="inlineStr">
        <is>
          <t>1968-05-27</t>
        </is>
      </c>
      <c r="H138" s="5" t="inlineStr">
        <is>
          <t>ALIANSALUD</t>
        </is>
      </c>
      <c r="I138" s="6" t="inlineStr">
        <is>
          <t>3272788331</t>
        </is>
      </c>
      <c r="J138" s="6" t="inlineStr">
        <is>
          <t>3273130196</t>
        </is>
      </c>
      <c r="K138" s="6" t="inlineStr">
        <is>
          <t>18:57:00</t>
        </is>
      </c>
      <c r="L138" s="5" t="inlineStr">
        <is>
          <t>DOLOR ABDOMINAL AGUDO</t>
        </is>
      </c>
      <c r="M138" s="7" t="inlineStr">
        <is>
          <t>T3 · AMARILLO</t>
        </is>
      </c>
      <c r="N138" s="6" t="n">
        <v>30</v>
      </c>
      <c r="O138" s="6" t="n">
        <v>77</v>
      </c>
      <c r="P138" s="5" t="inlineStr">
        <is>
          <t>Andrés Martínez</t>
        </is>
      </c>
    </row>
    <row r="139">
      <c r="A139" s="4" t="n">
        <v>49</v>
      </c>
      <c r="B139" s="5" t="inlineStr">
        <is>
          <t>Luis Herrera Vargas</t>
        </is>
      </c>
      <c r="C139" s="6" t="inlineStr">
        <is>
          <t>31114367</t>
        </is>
      </c>
      <c r="D139" s="6" t="inlineStr">
        <is>
          <t>M</t>
        </is>
      </c>
      <c r="E139" s="6" t="n">
        <v>68</v>
      </c>
      <c r="F139" s="6" t="inlineStr">
        <is>
          <t>Adulto mayor</t>
        </is>
      </c>
      <c r="G139" s="6" t="inlineStr">
        <is>
          <t>1958-05-27</t>
        </is>
      </c>
      <c r="H139" s="5" t="inlineStr">
        <is>
          <t>SALUD TOTAL</t>
        </is>
      </c>
      <c r="I139" s="6" t="inlineStr">
        <is>
          <t>3652066528</t>
        </is>
      </c>
      <c r="J139" s="6" t="inlineStr">
        <is>
          <t>3954937941</t>
        </is>
      </c>
      <c r="K139" s="6" t="inlineStr">
        <is>
          <t>19:00:00</t>
        </is>
      </c>
      <c r="L139" s="5" t="inlineStr">
        <is>
          <t>POLITRAUMATISMO GRAVE</t>
        </is>
      </c>
      <c r="M139" s="11" t="inlineStr">
        <is>
          <t>T1 · ROJO</t>
        </is>
      </c>
      <c r="N139" s="6" t="n">
        <v>90</v>
      </c>
      <c r="O139" s="6" t="n">
        <v>113</v>
      </c>
      <c r="P139" s="5" t="inlineStr">
        <is>
          <t>Andrés Martínez</t>
        </is>
      </c>
    </row>
    <row r="140">
      <c r="A140" s="4" t="n">
        <v>71</v>
      </c>
      <c r="B140" s="5" t="inlineStr">
        <is>
          <t>Jorge Vargas Ramírez</t>
        </is>
      </c>
      <c r="C140" s="6" t="inlineStr">
        <is>
          <t>90994150</t>
        </is>
      </c>
      <c r="D140" s="6" t="inlineStr">
        <is>
          <t>M</t>
        </is>
      </c>
      <c r="E140" s="6" t="n">
        <v>48</v>
      </c>
      <c r="F140" s="6" t="inlineStr">
        <is>
          <t>Adulto</t>
        </is>
      </c>
      <c r="G140" s="6" t="inlineStr">
        <is>
          <t>1978-05-27</t>
        </is>
      </c>
      <c r="H140" s="5" t="inlineStr">
        <is>
          <t>SURA</t>
        </is>
      </c>
      <c r="I140" s="6" t="inlineStr">
        <is>
          <t>3188636113</t>
        </is>
      </c>
      <c r="J140" s="6" t="inlineStr">
        <is>
          <t>3999873559</t>
        </is>
      </c>
      <c r="K140" s="6" t="inlineStr">
        <is>
          <t>19:00:00</t>
        </is>
      </c>
      <c r="L140" s="5" t="inlineStr">
        <is>
          <t>DOLOR ABDOMINAL AGUDO</t>
        </is>
      </c>
      <c r="M140" s="7" t="inlineStr">
        <is>
          <t>T3 · AMARILLO</t>
        </is>
      </c>
      <c r="N140" s="6" t="n">
        <v>30</v>
      </c>
      <c r="O140" s="6" t="n">
        <v>97</v>
      </c>
      <c r="P140" s="5" t="inlineStr">
        <is>
          <t>Carlos Ramírez</t>
        </is>
      </c>
    </row>
    <row r="141">
      <c r="A141" s="4" t="n">
        <v>143</v>
      </c>
      <c r="B141" s="5" t="inlineStr">
        <is>
          <t>Alejandro Gómez Cárdenas</t>
        </is>
      </c>
      <c r="C141" s="6" t="inlineStr">
        <is>
          <t>89506806</t>
        </is>
      </c>
      <c r="D141" s="6" t="inlineStr">
        <is>
          <t>M</t>
        </is>
      </c>
      <c r="E141" s="6" t="n">
        <v>45</v>
      </c>
      <c r="F141" s="6" t="inlineStr">
        <is>
          <t>Adulto</t>
        </is>
      </c>
      <c r="G141" s="6" t="inlineStr">
        <is>
          <t>1981-05-27</t>
        </is>
      </c>
      <c r="H141" s="5" t="inlineStr">
        <is>
          <t>COMPENSAR</t>
        </is>
      </c>
      <c r="I141" s="6" t="inlineStr">
        <is>
          <t>3798087270</t>
        </is>
      </c>
      <c r="J141" s="6" t="inlineStr">
        <is>
          <t>3999689585</t>
        </is>
      </c>
      <c r="K141" s="6" t="inlineStr">
        <is>
          <t>19:01:00</t>
        </is>
      </c>
      <c r="L141" s="5" t="inlineStr">
        <is>
          <t>DOLOR ABDOMINAL AGUDO</t>
        </is>
      </c>
      <c r="M141" s="7" t="inlineStr">
        <is>
          <t>T3 · AMARILLO</t>
        </is>
      </c>
      <c r="N141" s="6" t="n">
        <v>30</v>
      </c>
      <c r="O141" s="6" t="n">
        <v>90</v>
      </c>
      <c r="P141" s="5" t="inlineStr">
        <is>
          <t>Laura Gómez</t>
        </is>
      </c>
    </row>
    <row r="142">
      <c r="A142" s="4" t="n">
        <v>27</v>
      </c>
      <c r="B142" s="5" t="inlineStr">
        <is>
          <t>Luis Cárdenas Martínez</t>
        </is>
      </c>
      <c r="C142" s="6" t="inlineStr">
        <is>
          <t>35081603</t>
        </is>
      </c>
      <c r="D142" s="6" t="inlineStr">
        <is>
          <t>M</t>
        </is>
      </c>
      <c r="E142" s="6" t="n">
        <v>81</v>
      </c>
      <c r="F142" s="6" t="inlineStr">
        <is>
          <t>Anciano</t>
        </is>
      </c>
      <c r="G142" s="6" t="inlineStr">
        <is>
          <t>1945-05-27</t>
        </is>
      </c>
      <c r="H142" s="5" t="inlineStr">
        <is>
          <t>FAMISANAR</t>
        </is>
      </c>
      <c r="I142" s="6" t="inlineStr">
        <is>
          <t>3635850010</t>
        </is>
      </c>
      <c r="J142" s="6" t="inlineStr">
        <is>
          <t>3199531147</t>
        </is>
      </c>
      <c r="K142" s="6" t="inlineStr">
        <is>
          <t>19:33:00</t>
        </is>
      </c>
      <c r="L142" s="5" t="inlineStr">
        <is>
          <t>DOLOR ABDOMINAL AGUDO</t>
        </is>
      </c>
      <c r="M142" s="7" t="inlineStr">
        <is>
          <t>T3 · AMARILLO</t>
        </is>
      </c>
      <c r="N142" s="6" t="n">
        <v>30</v>
      </c>
      <c r="O142" s="6" t="n">
        <v>47</v>
      </c>
      <c r="P142" s="5" t="inlineStr">
        <is>
          <t>Sofía Torres</t>
        </is>
      </c>
    </row>
    <row r="143">
      <c r="A143" s="4" t="n">
        <v>79</v>
      </c>
      <c r="B143" s="5" t="inlineStr">
        <is>
          <t>Isabella Cruz Jiménez</t>
        </is>
      </c>
      <c r="C143" s="6" t="inlineStr">
        <is>
          <t>46965614</t>
        </is>
      </c>
      <c r="D143" s="6" t="inlineStr">
        <is>
          <t>F</t>
        </is>
      </c>
      <c r="E143" s="6" t="n">
        <v>61</v>
      </c>
      <c r="F143" s="6" t="inlineStr">
        <is>
          <t>Adulto mayor</t>
        </is>
      </c>
      <c r="G143" s="6" t="inlineStr">
        <is>
          <t>1965-05-27</t>
        </is>
      </c>
      <c r="H143" s="5" t="inlineStr">
        <is>
          <t>SURA</t>
        </is>
      </c>
      <c r="I143" s="6" t="inlineStr">
        <is>
          <t>3828956074</t>
        </is>
      </c>
      <c r="J143" s="6" t="inlineStr">
        <is>
          <t>3132149034</t>
        </is>
      </c>
      <c r="K143" s="6" t="inlineStr">
        <is>
          <t>19:37:00</t>
        </is>
      </c>
      <c r="L143" s="5" t="inlineStr">
        <is>
          <t>ACV / DERRAME CEREBRAL</t>
        </is>
      </c>
      <c r="M143" s="8" t="inlineStr">
        <is>
          <t>T2 · NARANJA</t>
        </is>
      </c>
      <c r="N143" s="6" t="n">
        <v>50</v>
      </c>
      <c r="O143" s="6" t="n">
        <v>42</v>
      </c>
      <c r="P143" s="5" t="inlineStr">
        <is>
          <t>Sofía Torres</t>
        </is>
      </c>
    </row>
    <row r="144">
      <c r="A144" s="4" t="n">
        <v>7</v>
      </c>
      <c r="B144" s="5" t="inlineStr">
        <is>
          <t>Daniela Gómez Ramírez</t>
        </is>
      </c>
      <c r="C144" s="6" t="inlineStr">
        <is>
          <t>28228940</t>
        </is>
      </c>
      <c r="D144" s="6" t="inlineStr">
        <is>
          <t>F</t>
        </is>
      </c>
      <c r="E144" s="6" t="n">
        <v>74</v>
      </c>
      <c r="F144" s="6" t="inlineStr">
        <is>
          <t>Adulto mayor</t>
        </is>
      </c>
      <c r="G144" s="6" t="inlineStr">
        <is>
          <t>1952-05-27</t>
        </is>
      </c>
      <c r="H144" s="5" t="inlineStr">
        <is>
          <t>FAMISANAR</t>
        </is>
      </c>
      <c r="I144" s="6" t="inlineStr">
        <is>
          <t>3446924989</t>
        </is>
      </c>
      <c r="J144" s="6" t="inlineStr">
        <is>
          <t>3995950943</t>
        </is>
      </c>
      <c r="K144" s="6" t="inlineStr">
        <is>
          <t>19:45:00</t>
        </is>
      </c>
      <c r="L144" s="5" t="inlineStr">
        <is>
          <t>PARO CARDIORESPIESTARIO</t>
        </is>
      </c>
      <c r="M144" s="11" t="inlineStr">
        <is>
          <t>T1 · ROJO</t>
        </is>
      </c>
      <c r="N144" s="6" t="n">
        <v>60</v>
      </c>
      <c r="O144" s="6" t="n">
        <v>37</v>
      </c>
      <c r="P144" s="5" t="inlineStr">
        <is>
          <t>Carlos Ramírez</t>
        </is>
      </c>
    </row>
    <row r="145">
      <c r="A145" s="4" t="n">
        <v>48</v>
      </c>
      <c r="B145" s="5" t="inlineStr">
        <is>
          <t>Jorge Morales Ospina</t>
        </is>
      </c>
      <c r="C145" s="6" t="inlineStr">
        <is>
          <t>95452795</t>
        </is>
      </c>
      <c r="D145" s="6" t="inlineStr">
        <is>
          <t>M</t>
        </is>
      </c>
      <c r="E145" s="6" t="n">
        <v>67</v>
      </c>
      <c r="F145" s="6" t="inlineStr">
        <is>
          <t>Adulto mayor</t>
        </is>
      </c>
      <c r="G145" s="6" t="inlineStr">
        <is>
          <t>1959-05-27</t>
        </is>
      </c>
      <c r="H145" s="5" t="inlineStr">
        <is>
          <t>SALUD TOTAL</t>
        </is>
      </c>
      <c r="I145" s="6" t="inlineStr">
        <is>
          <t>3153333797</t>
        </is>
      </c>
      <c r="J145" s="6" t="inlineStr">
        <is>
          <t>3433621465</t>
        </is>
      </c>
      <c r="K145" s="6" t="inlineStr">
        <is>
          <t>19:46:00</t>
        </is>
      </c>
      <c r="L145" s="5" t="inlineStr">
        <is>
          <t>FIEBRE ALTA CON CONVULSIÓN</t>
        </is>
      </c>
      <c r="M145" s="10" t="inlineStr">
        <is>
          <t>T4 · VERDE</t>
        </is>
      </c>
      <c r="N145" s="6" t="n">
        <v>25</v>
      </c>
      <c r="O145" s="6" t="n">
        <v>79</v>
      </c>
      <c r="P145" s="5" t="inlineStr">
        <is>
          <t>Laura Gómez</t>
        </is>
      </c>
    </row>
    <row r="146">
      <c r="A146" s="4" t="n">
        <v>32</v>
      </c>
      <c r="B146" s="5" t="inlineStr">
        <is>
          <t>Daniela Gómez Cárdenas</t>
        </is>
      </c>
      <c r="C146" s="6" t="inlineStr">
        <is>
          <t>71559788</t>
        </is>
      </c>
      <c r="D146" s="6" t="inlineStr">
        <is>
          <t>F</t>
        </is>
      </c>
      <c r="E146" s="6" t="n">
        <v>41</v>
      </c>
      <c r="F146" s="6" t="inlineStr">
        <is>
          <t>Adulto</t>
        </is>
      </c>
      <c r="G146" s="6" t="inlineStr">
        <is>
          <t>1985-05-27</t>
        </is>
      </c>
      <c r="H146" s="5" t="inlineStr">
        <is>
          <t>SALUD TOTAL</t>
        </is>
      </c>
      <c r="I146" s="6" t="inlineStr">
        <is>
          <t>3586321648</t>
        </is>
      </c>
      <c r="J146" s="6" t="inlineStr">
        <is>
          <t>3904432222</t>
        </is>
      </c>
      <c r="K146" s="6" t="inlineStr">
        <is>
          <t>19:50:00</t>
        </is>
      </c>
      <c r="L146" s="5" t="inlineStr">
        <is>
          <t>POLITRAUMATISMO GRAVE</t>
        </is>
      </c>
      <c r="M146" s="11" t="inlineStr">
        <is>
          <t>T1 · ROJO</t>
        </is>
      </c>
      <c r="N146" s="6" t="n">
        <v>90</v>
      </c>
      <c r="O146" s="6" t="n">
        <v>91</v>
      </c>
      <c r="P146" s="5" t="inlineStr">
        <is>
          <t>Andrés Martínez</t>
        </is>
      </c>
    </row>
    <row r="147">
      <c r="A147" s="4" t="n">
        <v>29</v>
      </c>
      <c r="B147" s="5" t="inlineStr">
        <is>
          <t>Nicolás Alvarado Castro</t>
        </is>
      </c>
      <c r="C147" s="6" t="inlineStr">
        <is>
          <t>27118806</t>
        </is>
      </c>
      <c r="D147" s="6" t="inlineStr">
        <is>
          <t>M</t>
        </is>
      </c>
      <c r="E147" s="6" t="n">
        <v>71</v>
      </c>
      <c r="F147" s="6" t="inlineStr">
        <is>
          <t>Adulto mayor</t>
        </is>
      </c>
      <c r="G147" s="6" t="inlineStr">
        <is>
          <t>1955-05-27</t>
        </is>
      </c>
      <c r="H147" s="5" t="inlineStr">
        <is>
          <t>MEDIMAS</t>
        </is>
      </c>
      <c r="I147" s="6" t="inlineStr">
        <is>
          <t>3772020780</t>
        </is>
      </c>
      <c r="J147" s="6" t="inlineStr">
        <is>
          <t>3534382908</t>
        </is>
      </c>
      <c r="K147" s="6" t="inlineStr">
        <is>
          <t>19:57:00</t>
        </is>
      </c>
      <c r="L147" s="5" t="inlineStr">
        <is>
          <t>ACV / DERRAME CEREBRAL</t>
        </is>
      </c>
      <c r="M147" s="8" t="inlineStr">
        <is>
          <t>T2 · NARANJA</t>
        </is>
      </c>
      <c r="N147" s="6" t="n">
        <v>50</v>
      </c>
      <c r="O147" s="6" t="n">
        <v>33</v>
      </c>
      <c r="P147" s="5" t="inlineStr">
        <is>
          <t>Andrés Martínez</t>
        </is>
      </c>
    </row>
    <row r="148">
      <c r="A148" s="4" t="n">
        <v>36</v>
      </c>
      <c r="B148" s="5" t="inlineStr">
        <is>
          <t>Nicolás Vargas García</t>
        </is>
      </c>
      <c r="C148" s="6" t="inlineStr">
        <is>
          <t>50575507</t>
        </is>
      </c>
      <c r="D148" s="6" t="inlineStr">
        <is>
          <t>M</t>
        </is>
      </c>
      <c r="E148" s="6" t="n">
        <v>86</v>
      </c>
      <c r="F148" s="6" t="inlineStr">
        <is>
          <t>Anciano</t>
        </is>
      </c>
      <c r="G148" s="6" t="inlineStr">
        <is>
          <t>1940-05-27</t>
        </is>
      </c>
      <c r="H148" s="5" t="inlineStr">
        <is>
          <t>COOMEVA</t>
        </is>
      </c>
      <c r="I148" s="6" t="inlineStr">
        <is>
          <t>3325743168</t>
        </is>
      </c>
      <c r="J148" s="6" t="inlineStr">
        <is>
          <t>3938991491</t>
        </is>
      </c>
      <c r="K148" s="6" t="inlineStr">
        <is>
          <t>20:01:00</t>
        </is>
      </c>
      <c r="L148" s="5" t="inlineStr">
        <is>
          <t>HERIDA CON SANGRADO MODERADO</t>
        </is>
      </c>
      <c r="M148" s="10" t="inlineStr">
        <is>
          <t>T4 · VERDE</t>
        </is>
      </c>
      <c r="N148" s="6" t="n">
        <v>20</v>
      </c>
      <c r="O148" s="6" t="n">
        <v>67</v>
      </c>
      <c r="P148" s="5" t="inlineStr">
        <is>
          <t>Carlos Ramírez</t>
        </is>
      </c>
    </row>
    <row r="149">
      <c r="A149" s="4" t="n">
        <v>51</v>
      </c>
      <c r="B149" s="5" t="inlineStr">
        <is>
          <t>María Herrera Alvarado</t>
        </is>
      </c>
      <c r="C149" s="6" t="inlineStr">
        <is>
          <t>19338910</t>
        </is>
      </c>
      <c r="D149" s="6" t="inlineStr">
        <is>
          <t>F</t>
        </is>
      </c>
      <c r="E149" s="6" t="n">
        <v>25</v>
      </c>
      <c r="F149" s="6" t="inlineStr">
        <is>
          <t>Adulto</t>
        </is>
      </c>
      <c r="G149" s="6" t="inlineStr">
        <is>
          <t>2001-05-27</t>
        </is>
      </c>
      <c r="H149" s="5" t="inlineStr">
        <is>
          <t>MEDIMAS</t>
        </is>
      </c>
      <c r="I149" s="6" t="inlineStr">
        <is>
          <t>3402519155</t>
        </is>
      </c>
      <c r="J149" s="6" t="inlineStr">
        <is>
          <t>3872937833</t>
        </is>
      </c>
      <c r="K149" s="6" t="inlineStr">
        <is>
          <t>20:17:00</t>
        </is>
      </c>
      <c r="L149" s="5" t="inlineStr">
        <is>
          <t>FRACTURA CON COMPROMISO VASCULAR</t>
        </is>
      </c>
      <c r="M149" s="7" t="inlineStr">
        <is>
          <t>T3 · AMARILLO</t>
        </is>
      </c>
      <c r="N149" s="6" t="n">
        <v>35</v>
      </c>
      <c r="O149" s="6" t="n">
        <v>13</v>
      </c>
      <c r="P149" s="5" t="inlineStr">
        <is>
          <t>Laura Gómez</t>
        </is>
      </c>
    </row>
    <row r="150">
      <c r="A150" s="4" t="n">
        <v>122</v>
      </c>
      <c r="B150" s="5" t="inlineStr">
        <is>
          <t>Fernanda Reyes Jiménez</t>
        </is>
      </c>
      <c r="C150" s="6" t="inlineStr">
        <is>
          <t>72168817</t>
        </is>
      </c>
      <c r="D150" s="6" t="inlineStr">
        <is>
          <t>F</t>
        </is>
      </c>
      <c r="E150" s="6" t="n">
        <v>65</v>
      </c>
      <c r="F150" s="6" t="inlineStr">
        <is>
          <t>Adulto mayor</t>
        </is>
      </c>
      <c r="G150" s="6" t="inlineStr">
        <is>
          <t>1961-05-27</t>
        </is>
      </c>
      <c r="H150" s="5" t="inlineStr">
        <is>
          <t>SANITAS</t>
        </is>
      </c>
      <c r="I150" s="6" t="inlineStr">
        <is>
          <t>3175625462</t>
        </is>
      </c>
      <c r="J150" s="6" t="inlineStr">
        <is>
          <t>3702687561</t>
        </is>
      </c>
      <c r="K150" s="6" t="inlineStr">
        <is>
          <t>20:20:00</t>
        </is>
      </c>
      <c r="L150" s="5" t="inlineStr">
        <is>
          <t>DOLOR ABDOMINAL AGUDO</t>
        </is>
      </c>
      <c r="M150" s="7" t="inlineStr">
        <is>
          <t>T3 · AMARILLO</t>
        </is>
      </c>
      <c r="N150" s="6" t="n">
        <v>30</v>
      </c>
      <c r="O150" s="6" t="n">
        <v>93</v>
      </c>
      <c r="P150" s="5" t="inlineStr">
        <is>
          <t>Sofía Torres</t>
        </is>
      </c>
    </row>
    <row r="151">
      <c r="A151" s="4" t="n">
        <v>118</v>
      </c>
      <c r="B151" s="5" t="inlineStr">
        <is>
          <t>Alejandro Cruz Vargas</t>
        </is>
      </c>
      <c r="C151" s="6" t="inlineStr">
        <is>
          <t>78037477</t>
        </is>
      </c>
      <c r="D151" s="6" t="inlineStr">
        <is>
          <t>M</t>
        </is>
      </c>
      <c r="E151" s="6" t="n">
        <v>23</v>
      </c>
      <c r="F151" s="6" t="inlineStr">
        <is>
          <t>Adulto</t>
        </is>
      </c>
      <c r="G151" s="6" t="inlineStr">
        <is>
          <t>2003-05-27</t>
        </is>
      </c>
      <c r="H151" s="5" t="inlineStr">
        <is>
          <t>CAJACOPI</t>
        </is>
      </c>
      <c r="I151" s="6" t="inlineStr">
        <is>
          <t>3181167212</t>
        </is>
      </c>
      <c r="J151" s="6" t="inlineStr">
        <is>
          <t>3239957338</t>
        </is>
      </c>
      <c r="K151" s="6" t="inlineStr">
        <is>
          <t>20:34:00</t>
        </is>
      </c>
      <c r="L151" s="5" t="inlineStr">
        <is>
          <t>HERIDA CON SANGRADO MODERADO</t>
        </is>
      </c>
      <c r="M151" s="10" t="inlineStr">
        <is>
          <t>T4 · VERDE</t>
        </is>
      </c>
      <c r="N151" s="6" t="n">
        <v>20</v>
      </c>
      <c r="O151" s="6" t="n">
        <v>19</v>
      </c>
      <c r="P151" s="5" t="inlineStr">
        <is>
          <t>Carlos Ramírez</t>
        </is>
      </c>
    </row>
    <row r="152">
      <c r="A152" s="4" t="n">
        <v>109</v>
      </c>
      <c r="B152" s="5" t="inlineStr">
        <is>
          <t>Alejandra Ospina Jiménez</t>
        </is>
      </c>
      <c r="C152" s="6" t="inlineStr">
        <is>
          <t>88878012</t>
        </is>
      </c>
      <c r="D152" s="6" t="inlineStr">
        <is>
          <t>F</t>
        </is>
      </c>
      <c r="E152" s="6" t="n">
        <v>88</v>
      </c>
      <c r="F152" s="6" t="inlineStr">
        <is>
          <t>Anciano</t>
        </is>
      </c>
      <c r="G152" s="6" t="inlineStr">
        <is>
          <t>1938-05-27</t>
        </is>
      </c>
      <c r="H152" s="5" t="inlineStr">
        <is>
          <t>MEDIMAS</t>
        </is>
      </c>
      <c r="I152" s="6" t="inlineStr">
        <is>
          <t>3502862737</t>
        </is>
      </c>
      <c r="J152" s="6" t="inlineStr">
        <is>
          <t>3621163561</t>
        </is>
      </c>
      <c r="K152" s="6" t="inlineStr">
        <is>
          <t>20:43:00</t>
        </is>
      </c>
      <c r="L152" s="5" t="inlineStr">
        <is>
          <t>FIEBRE ALTA CON CONVULSIÓN</t>
        </is>
      </c>
      <c r="M152" s="10" t="inlineStr">
        <is>
          <t>T4 · VERDE</t>
        </is>
      </c>
      <c r="N152" s="6" t="n">
        <v>25</v>
      </c>
      <c r="O152" s="6" t="n">
        <v>25</v>
      </c>
      <c r="P152" s="5" t="inlineStr">
        <is>
          <t>Laura Gómez</t>
        </is>
      </c>
    </row>
    <row r="153">
      <c r="A153" s="4" t="n">
        <v>96</v>
      </c>
      <c r="B153" s="5" t="inlineStr">
        <is>
          <t>Camila Alvarado Díaz</t>
        </is>
      </c>
      <c r="C153" s="6" t="inlineStr">
        <is>
          <t>38412255</t>
        </is>
      </c>
      <c r="D153" s="6" t="inlineStr">
        <is>
          <t>F</t>
        </is>
      </c>
      <c r="E153" s="6" t="n">
        <v>25</v>
      </c>
      <c r="F153" s="6" t="inlineStr">
        <is>
          <t>Adulto</t>
        </is>
      </c>
      <c r="G153" s="6" t="inlineStr">
        <is>
          <t>2001-05-27</t>
        </is>
      </c>
      <c r="H153" s="5" t="inlineStr">
        <is>
          <t>NUEVA EPS</t>
        </is>
      </c>
      <c r="I153" s="6" t="inlineStr">
        <is>
          <t>3456609533</t>
        </is>
      </c>
      <c r="J153" s="6" t="inlineStr">
        <is>
          <t>3904467281</t>
        </is>
      </c>
      <c r="K153" s="6" t="inlineStr">
        <is>
          <t>20:47:00</t>
        </is>
      </c>
      <c r="L153" s="5" t="inlineStr">
        <is>
          <t>DOLOR ABDOMINAL AGUDO</t>
        </is>
      </c>
      <c r="M153" s="7" t="inlineStr">
        <is>
          <t>T3 · AMARILLO</t>
        </is>
      </c>
      <c r="N153" s="6" t="n">
        <v>30</v>
      </c>
      <c r="O153" s="6" t="n">
        <v>65</v>
      </c>
      <c r="P153" s="5" t="inlineStr">
        <is>
          <t>Laura Gómez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6" customWidth="1" min="5" max="5"/>
    <col width="6" customWidth="1" min="6" max="6"/>
    <col width="14" customWidth="1" min="7" max="7"/>
    <col width="15" customWidth="1" min="8" max="8"/>
    <col width="16" customWidth="1" min="9" max="9"/>
    <col width="24" customWidth="1" min="10" max="10"/>
  </cols>
  <sheetData>
    <row r="1">
      <c r="A1" s="12" t="inlineStr">
        <is>
          <t>COLA DE ATENCIÓN — ORDENADA POR PRIORIDAD (MIN-HEAP)</t>
        </is>
      </c>
    </row>
    <row r="2">
      <c r="A2" s="2" t="inlineStr">
        <is>
          <t>Algoritmo: (nivel_triage, peso_edad, hora_registro)  →  menor = atiende primero</t>
        </is>
      </c>
    </row>
    <row r="3">
      <c r="A3" s="3" t="inlineStr">
        <is>
          <t>POS. COLA</t>
        </is>
      </c>
      <c r="B3" s="3" t="inlineStr">
        <is>
          <t>N° TURNO</t>
        </is>
      </c>
      <c r="C3" s="3" t="inlineStr">
        <is>
          <t>NOMBRE</t>
        </is>
      </c>
      <c r="D3" s="3" t="inlineStr">
        <is>
          <t>TRIAGE</t>
        </is>
      </c>
      <c r="E3" s="3" t="inlineStr">
        <is>
          <t>TIPO EMERGENCIA</t>
        </is>
      </c>
      <c r="F3" s="3" t="inlineStr">
        <is>
          <t>EDAD</t>
        </is>
      </c>
      <c r="G3" s="3" t="inlineStr">
        <is>
          <t>GRUPO EDAD</t>
        </is>
      </c>
      <c r="H3" s="3" t="inlineStr">
        <is>
          <t>T. ATENCIÓN (min)</t>
        </is>
      </c>
      <c r="I3" s="3" t="inlineStr">
        <is>
          <t>ESPERA ACUM. (min)</t>
        </is>
      </c>
      <c r="J3" s="3" t="inlineStr">
        <is>
          <t>DOCTOR</t>
        </is>
      </c>
    </row>
    <row r="4">
      <c r="A4" s="13" t="n">
        <v>1</v>
      </c>
      <c r="B4" s="6" t="n">
        <v>119</v>
      </c>
      <c r="C4" s="5" t="inlineStr">
        <is>
          <t>Camila Moreno Ospina</t>
        </is>
      </c>
      <c r="D4" s="11" t="inlineStr">
        <is>
          <t>T1 · ROJO</t>
        </is>
      </c>
      <c r="E4" s="5" t="inlineStr">
        <is>
          <t>PARO CARDIORESPIESTARIO</t>
        </is>
      </c>
      <c r="F4" s="6" t="n">
        <v>0</v>
      </c>
      <c r="G4" s="6" t="inlineStr">
        <is>
          <t>Neonato</t>
        </is>
      </c>
      <c r="H4" s="6" t="n">
        <v>60</v>
      </c>
      <c r="I4" s="6" t="n">
        <v>0</v>
      </c>
      <c r="J4" s="5" t="inlineStr">
        <is>
          <t>Andrés Martínez</t>
        </is>
      </c>
    </row>
    <row r="5">
      <c r="A5" s="14" t="n">
        <v>2</v>
      </c>
      <c r="B5" s="6" t="n">
        <v>35</v>
      </c>
      <c r="C5" s="5" t="inlineStr">
        <is>
          <t>Juan Medina Sánchez</t>
        </is>
      </c>
      <c r="D5" s="11" t="inlineStr">
        <is>
          <t>T1 · ROJO</t>
        </is>
      </c>
      <c r="E5" s="5" t="inlineStr">
        <is>
          <t>POLITRAUMATISMO GRAVE</t>
        </is>
      </c>
      <c r="F5" s="6" t="n">
        <v>78</v>
      </c>
      <c r="G5" s="6" t="inlineStr">
        <is>
          <t>Anciano</t>
        </is>
      </c>
      <c r="H5" s="6" t="n">
        <v>90</v>
      </c>
      <c r="I5" s="6" t="n">
        <v>60</v>
      </c>
      <c r="J5" s="5" t="inlineStr">
        <is>
          <t>Carlos Ramírez</t>
        </is>
      </c>
    </row>
    <row r="6">
      <c r="A6" s="13" t="n">
        <v>3</v>
      </c>
      <c r="B6" s="6" t="n">
        <v>147</v>
      </c>
      <c r="C6" s="5" t="inlineStr">
        <is>
          <t>Ricardo Gómez Bernal</t>
        </is>
      </c>
      <c r="D6" s="11" t="inlineStr">
        <is>
          <t>T1 · ROJO</t>
        </is>
      </c>
      <c r="E6" s="5" t="inlineStr">
        <is>
          <t>POLITRAUMATISMO GRAVE</t>
        </is>
      </c>
      <c r="F6" s="6" t="n">
        <v>76</v>
      </c>
      <c r="G6" s="6" t="inlineStr">
        <is>
          <t>Anciano</t>
        </is>
      </c>
      <c r="H6" s="6" t="n">
        <v>90</v>
      </c>
      <c r="I6" s="6" t="n">
        <v>150</v>
      </c>
      <c r="J6" s="5" t="inlineStr">
        <is>
          <t>Carlos Ramírez</t>
        </is>
      </c>
    </row>
    <row r="7">
      <c r="A7" s="14" t="n">
        <v>4</v>
      </c>
      <c r="B7" s="6" t="n">
        <v>81</v>
      </c>
      <c r="C7" s="5" t="inlineStr">
        <is>
          <t>Ricardo López Cruz</t>
        </is>
      </c>
      <c r="D7" s="11" t="inlineStr">
        <is>
          <t>T1 · ROJO</t>
        </is>
      </c>
      <c r="E7" s="5" t="inlineStr">
        <is>
          <t>POLITRAUMATISMO GRAVE</t>
        </is>
      </c>
      <c r="F7" s="6" t="n">
        <v>78</v>
      </c>
      <c r="G7" s="6" t="inlineStr">
        <is>
          <t>Anciano</t>
        </is>
      </c>
      <c r="H7" s="6" t="n">
        <v>90</v>
      </c>
      <c r="I7" s="6" t="n">
        <v>240</v>
      </c>
      <c r="J7" s="5" t="inlineStr">
        <is>
          <t>Felipe Herrera</t>
        </is>
      </c>
    </row>
    <row r="8">
      <c r="A8" s="13" t="n">
        <v>5</v>
      </c>
      <c r="B8" s="6" t="n">
        <v>45</v>
      </c>
      <c r="C8" s="5" t="inlineStr">
        <is>
          <t>Luis López Medina</t>
        </is>
      </c>
      <c r="D8" s="11" t="inlineStr">
        <is>
          <t>T1 · ROJO</t>
        </is>
      </c>
      <c r="E8" s="5" t="inlineStr">
        <is>
          <t>PARO CARDIORESPIESTARIO</t>
        </is>
      </c>
      <c r="F8" s="6" t="n">
        <v>0</v>
      </c>
      <c r="G8" s="6" t="inlineStr">
        <is>
          <t>Neonato</t>
        </is>
      </c>
      <c r="H8" s="6" t="n">
        <v>60</v>
      </c>
      <c r="I8" s="6" t="n">
        <v>330</v>
      </c>
      <c r="J8" s="5" t="inlineStr">
        <is>
          <t>Andrés Martínez</t>
        </is>
      </c>
    </row>
    <row r="9">
      <c r="A9" s="14" t="n">
        <v>6</v>
      </c>
      <c r="B9" s="6" t="n">
        <v>113</v>
      </c>
      <c r="C9" s="5" t="inlineStr">
        <is>
          <t>Alejandro Reyes Ramírez</t>
        </is>
      </c>
      <c r="D9" s="11" t="inlineStr">
        <is>
          <t>T1 · ROJO</t>
        </is>
      </c>
      <c r="E9" s="5" t="inlineStr">
        <is>
          <t>PARO CARDIORESPIESTARIO</t>
        </is>
      </c>
      <c r="F9" s="6" t="n">
        <v>89</v>
      </c>
      <c r="G9" s="6" t="inlineStr">
        <is>
          <t>Anciano</t>
        </is>
      </c>
      <c r="H9" s="6" t="n">
        <v>60</v>
      </c>
      <c r="I9" s="6" t="n">
        <v>390</v>
      </c>
      <c r="J9" s="5" t="inlineStr">
        <is>
          <t>Laura Gómez</t>
        </is>
      </c>
    </row>
    <row r="10">
      <c r="A10" s="13" t="n">
        <v>7</v>
      </c>
      <c r="B10" s="6" t="n">
        <v>94</v>
      </c>
      <c r="C10" s="5" t="inlineStr">
        <is>
          <t>Natalia Sánchez Moreno</t>
        </is>
      </c>
      <c r="D10" s="11" t="inlineStr">
        <is>
          <t>T1 · ROJO</t>
        </is>
      </c>
      <c r="E10" s="5" t="inlineStr">
        <is>
          <t>PARO CARDIORESPIESTARIO</t>
        </is>
      </c>
      <c r="F10" s="6" t="n">
        <v>0</v>
      </c>
      <c r="G10" s="6" t="inlineStr">
        <is>
          <t>Neonato</t>
        </is>
      </c>
      <c r="H10" s="6" t="n">
        <v>60</v>
      </c>
      <c r="I10" s="6" t="n">
        <v>450</v>
      </c>
      <c r="J10" s="5" t="inlineStr">
        <is>
          <t>Felipe Herrera</t>
        </is>
      </c>
    </row>
    <row r="11">
      <c r="A11" s="14" t="n">
        <v>8</v>
      </c>
      <c r="B11" s="6" t="n">
        <v>139</v>
      </c>
      <c r="C11" s="5" t="inlineStr">
        <is>
          <t>Mariana Ríos Cárdenas</t>
        </is>
      </c>
      <c r="D11" s="11" t="inlineStr">
        <is>
          <t>T1 · ROJO</t>
        </is>
      </c>
      <c r="E11" s="5" t="inlineStr">
        <is>
          <t>POLITRAUMATISMO GRAVE</t>
        </is>
      </c>
      <c r="F11" s="6" t="n">
        <v>61</v>
      </c>
      <c r="G11" s="6" t="inlineStr">
        <is>
          <t>Adulto mayor</t>
        </is>
      </c>
      <c r="H11" s="6" t="n">
        <v>90</v>
      </c>
      <c r="I11" s="6" t="n">
        <v>510</v>
      </c>
      <c r="J11" s="5" t="inlineStr">
        <is>
          <t>Laura Gómez</t>
        </is>
      </c>
    </row>
    <row r="12">
      <c r="A12" s="13" t="n">
        <v>9</v>
      </c>
      <c r="B12" s="6" t="n">
        <v>3</v>
      </c>
      <c r="C12" s="5" t="inlineStr">
        <is>
          <t>María Torres Muñoz</t>
        </is>
      </c>
      <c r="D12" s="11" t="inlineStr">
        <is>
          <t>T1 · ROJO</t>
        </is>
      </c>
      <c r="E12" s="5" t="inlineStr">
        <is>
          <t>POLITRAUMATISMO GRAVE</t>
        </is>
      </c>
      <c r="F12" s="6" t="n">
        <v>66</v>
      </c>
      <c r="G12" s="6" t="inlineStr">
        <is>
          <t>Adulto mayor</t>
        </is>
      </c>
      <c r="H12" s="6" t="n">
        <v>90</v>
      </c>
      <c r="I12" s="6" t="n">
        <v>600</v>
      </c>
      <c r="J12" s="5" t="inlineStr">
        <is>
          <t>Carlos Ramírez</t>
        </is>
      </c>
    </row>
    <row r="13">
      <c r="A13" s="14" t="n">
        <v>10</v>
      </c>
      <c r="B13" s="6" t="n">
        <v>144</v>
      </c>
      <c r="C13" s="5" t="inlineStr">
        <is>
          <t>Mariana Rodríguez Alvarado</t>
        </is>
      </c>
      <c r="D13" s="11" t="inlineStr">
        <is>
          <t>T1 · ROJO</t>
        </is>
      </c>
      <c r="E13" s="5" t="inlineStr">
        <is>
          <t>POLITRAUMATISMO GRAVE</t>
        </is>
      </c>
      <c r="F13" s="6" t="n">
        <v>61</v>
      </c>
      <c r="G13" s="6" t="inlineStr">
        <is>
          <t>Adulto mayor</t>
        </is>
      </c>
      <c r="H13" s="6" t="n">
        <v>90</v>
      </c>
      <c r="I13" s="6" t="n">
        <v>690</v>
      </c>
      <c r="J13" s="5" t="inlineStr">
        <is>
          <t>Andrés Martínez</t>
        </is>
      </c>
    </row>
    <row r="14">
      <c r="A14" s="13" t="n">
        <v>11</v>
      </c>
      <c r="B14" s="6" t="n">
        <v>49</v>
      </c>
      <c r="C14" s="5" t="inlineStr">
        <is>
          <t>Luis Herrera Vargas</t>
        </is>
      </c>
      <c r="D14" s="11" t="inlineStr">
        <is>
          <t>T1 · ROJO</t>
        </is>
      </c>
      <c r="E14" s="5" t="inlineStr">
        <is>
          <t>POLITRAUMATISMO GRAVE</t>
        </is>
      </c>
      <c r="F14" s="6" t="n">
        <v>68</v>
      </c>
      <c r="G14" s="6" t="inlineStr">
        <is>
          <t>Adulto mayor</t>
        </is>
      </c>
      <c r="H14" s="6" t="n">
        <v>90</v>
      </c>
      <c r="I14" s="6" t="n">
        <v>780</v>
      </c>
      <c r="J14" s="5" t="inlineStr">
        <is>
          <t>Andrés Martínez</t>
        </is>
      </c>
    </row>
    <row r="15">
      <c r="A15" s="14" t="n">
        <v>12</v>
      </c>
      <c r="B15" s="6" t="n">
        <v>7</v>
      </c>
      <c r="C15" s="5" t="inlineStr">
        <is>
          <t>Daniela Gómez Ramírez</t>
        </is>
      </c>
      <c r="D15" s="11" t="inlineStr">
        <is>
          <t>T1 · ROJO</t>
        </is>
      </c>
      <c r="E15" s="5" t="inlineStr">
        <is>
          <t>PARO CARDIORESPIESTARIO</t>
        </is>
      </c>
      <c r="F15" s="6" t="n">
        <v>74</v>
      </c>
      <c r="G15" s="6" t="inlineStr">
        <is>
          <t>Adulto mayor</t>
        </is>
      </c>
      <c r="H15" s="6" t="n">
        <v>60</v>
      </c>
      <c r="I15" s="6" t="n">
        <v>870</v>
      </c>
      <c r="J15" s="5" t="inlineStr">
        <is>
          <t>Carlos Ramírez</t>
        </is>
      </c>
    </row>
    <row r="16">
      <c r="A16" s="13" t="n">
        <v>13</v>
      </c>
      <c r="B16" s="6" t="n">
        <v>148</v>
      </c>
      <c r="C16" s="5" t="inlineStr">
        <is>
          <t>Carlos Reyes Díaz</t>
        </is>
      </c>
      <c r="D16" s="11" t="inlineStr">
        <is>
          <t>T1 · ROJO</t>
        </is>
      </c>
      <c r="E16" s="5" t="inlineStr">
        <is>
          <t>PARO CARDIORESPIESTARIO</t>
        </is>
      </c>
      <c r="F16" s="6" t="n">
        <v>30</v>
      </c>
      <c r="G16" s="6" t="inlineStr">
        <is>
          <t>Adulto</t>
        </is>
      </c>
      <c r="H16" s="6" t="n">
        <v>60</v>
      </c>
      <c r="I16" s="6" t="n">
        <v>930</v>
      </c>
      <c r="J16" s="5" t="inlineStr">
        <is>
          <t>Laura Gómez</t>
        </is>
      </c>
    </row>
    <row r="17">
      <c r="A17" s="14" t="n">
        <v>14</v>
      </c>
      <c r="B17" s="6" t="n">
        <v>58</v>
      </c>
      <c r="C17" s="5" t="inlineStr">
        <is>
          <t>Laura Herrera Torres</t>
        </is>
      </c>
      <c r="D17" s="11" t="inlineStr">
        <is>
          <t>T1 · ROJO</t>
        </is>
      </c>
      <c r="E17" s="5" t="inlineStr">
        <is>
          <t>PARO CARDIORESPIESTARIO</t>
        </is>
      </c>
      <c r="F17" s="6" t="n">
        <v>51</v>
      </c>
      <c r="G17" s="6" t="inlineStr">
        <is>
          <t>Adulto</t>
        </is>
      </c>
      <c r="H17" s="6" t="n">
        <v>60</v>
      </c>
      <c r="I17" s="6" t="n">
        <v>990</v>
      </c>
      <c r="J17" s="5" t="inlineStr">
        <is>
          <t>Sofía Torres</t>
        </is>
      </c>
    </row>
    <row r="18">
      <c r="A18" s="13" t="n">
        <v>15</v>
      </c>
      <c r="B18" s="6" t="n">
        <v>39</v>
      </c>
      <c r="C18" s="5" t="inlineStr">
        <is>
          <t>Natalia López Rodríguez</t>
        </is>
      </c>
      <c r="D18" s="11" t="inlineStr">
        <is>
          <t>T1 · ROJO</t>
        </is>
      </c>
      <c r="E18" s="5" t="inlineStr">
        <is>
          <t>POLITRAUMATISMO GRAVE</t>
        </is>
      </c>
      <c r="F18" s="6" t="n">
        <v>45</v>
      </c>
      <c r="G18" s="6" t="inlineStr">
        <is>
          <t>Adulto</t>
        </is>
      </c>
      <c r="H18" s="6" t="n">
        <v>90</v>
      </c>
      <c r="I18" s="6" t="n">
        <v>1050</v>
      </c>
      <c r="J18" s="5" t="inlineStr">
        <is>
          <t>Carlos Ramírez</t>
        </is>
      </c>
    </row>
    <row r="19">
      <c r="A19" s="14" t="n">
        <v>16</v>
      </c>
      <c r="B19" s="6" t="n">
        <v>50</v>
      </c>
      <c r="C19" s="5" t="inlineStr">
        <is>
          <t>Valentina Cárdenas Vargas</t>
        </is>
      </c>
      <c r="D19" s="11" t="inlineStr">
        <is>
          <t>T1 · ROJO</t>
        </is>
      </c>
      <c r="E19" s="5" t="inlineStr">
        <is>
          <t>PARO CARDIORESPIESTARIO</t>
        </is>
      </c>
      <c r="F19" s="6" t="n">
        <v>32</v>
      </c>
      <c r="G19" s="6" t="inlineStr">
        <is>
          <t>Adulto</t>
        </is>
      </c>
      <c r="H19" s="6" t="n">
        <v>60</v>
      </c>
      <c r="I19" s="6" t="n">
        <v>1140</v>
      </c>
      <c r="J19" s="5" t="inlineStr">
        <is>
          <t>Andrés Martínez</t>
        </is>
      </c>
    </row>
    <row r="20">
      <c r="A20" s="13" t="n">
        <v>17</v>
      </c>
      <c r="B20" s="6" t="n">
        <v>100</v>
      </c>
      <c r="C20" s="5" t="inlineStr">
        <is>
          <t>Ricardo Bernal Reyes</t>
        </is>
      </c>
      <c r="D20" s="11" t="inlineStr">
        <is>
          <t>T1 · ROJO</t>
        </is>
      </c>
      <c r="E20" s="5" t="inlineStr">
        <is>
          <t>POLITRAUMATISMO GRAVE</t>
        </is>
      </c>
      <c r="F20" s="6" t="n">
        <v>42</v>
      </c>
      <c r="G20" s="6" t="inlineStr">
        <is>
          <t>Adulto</t>
        </is>
      </c>
      <c r="H20" s="6" t="n">
        <v>90</v>
      </c>
      <c r="I20" s="6" t="n">
        <v>1200</v>
      </c>
      <c r="J20" s="5" t="inlineStr">
        <is>
          <t>Sofía Torres</t>
        </is>
      </c>
    </row>
    <row r="21">
      <c r="A21" s="14" t="n">
        <v>18</v>
      </c>
      <c r="B21" s="6" t="n">
        <v>126</v>
      </c>
      <c r="C21" s="5" t="inlineStr">
        <is>
          <t>Carlos Pardo Cárdenas</t>
        </is>
      </c>
      <c r="D21" s="11" t="inlineStr">
        <is>
          <t>T1 · ROJO</t>
        </is>
      </c>
      <c r="E21" s="5" t="inlineStr">
        <is>
          <t>POLITRAUMATISMO GRAVE</t>
        </is>
      </c>
      <c r="F21" s="6" t="n">
        <v>49</v>
      </c>
      <c r="G21" s="6" t="inlineStr">
        <is>
          <t>Adulto</t>
        </is>
      </c>
      <c r="H21" s="6" t="n">
        <v>90</v>
      </c>
      <c r="I21" s="6" t="n">
        <v>1290</v>
      </c>
      <c r="J21" s="5" t="inlineStr">
        <is>
          <t>Sofía Torres</t>
        </is>
      </c>
    </row>
    <row r="22">
      <c r="A22" s="13" t="n">
        <v>19</v>
      </c>
      <c r="B22" s="6" t="n">
        <v>54</v>
      </c>
      <c r="C22" s="5" t="inlineStr">
        <is>
          <t>Daniel Jiménez Vargas</t>
        </is>
      </c>
      <c r="D22" s="11" t="inlineStr">
        <is>
          <t>T1 · ROJO</t>
        </is>
      </c>
      <c r="E22" s="5" t="inlineStr">
        <is>
          <t>POLITRAUMATISMO GRAVE</t>
        </is>
      </c>
      <c r="F22" s="6" t="n">
        <v>38</v>
      </c>
      <c r="G22" s="6" t="inlineStr">
        <is>
          <t>Adulto</t>
        </is>
      </c>
      <c r="H22" s="6" t="n">
        <v>90</v>
      </c>
      <c r="I22" s="6" t="n">
        <v>1380</v>
      </c>
      <c r="J22" s="5" t="inlineStr">
        <is>
          <t>Andrés Martínez</t>
        </is>
      </c>
    </row>
    <row r="23">
      <c r="A23" s="14" t="n">
        <v>20</v>
      </c>
      <c r="B23" s="6" t="n">
        <v>103</v>
      </c>
      <c r="C23" s="5" t="inlineStr">
        <is>
          <t>Fernanda Bernal Cárdenas</t>
        </is>
      </c>
      <c r="D23" s="11" t="inlineStr">
        <is>
          <t>T1 · ROJO</t>
        </is>
      </c>
      <c r="E23" s="5" t="inlineStr">
        <is>
          <t>PARO CARDIORESPIESTARIO</t>
        </is>
      </c>
      <c r="F23" s="6" t="n">
        <v>29</v>
      </c>
      <c r="G23" s="6" t="inlineStr">
        <is>
          <t>Adulto</t>
        </is>
      </c>
      <c r="H23" s="6" t="n">
        <v>60</v>
      </c>
      <c r="I23" s="6" t="n">
        <v>1470</v>
      </c>
      <c r="J23" s="5" t="inlineStr">
        <is>
          <t>Andrés Martínez</t>
        </is>
      </c>
    </row>
    <row r="24">
      <c r="A24" s="13" t="n">
        <v>21</v>
      </c>
      <c r="B24" s="6" t="n">
        <v>32</v>
      </c>
      <c r="C24" s="5" t="inlineStr">
        <is>
          <t>Daniela Gómez Cárdenas</t>
        </is>
      </c>
      <c r="D24" s="11" t="inlineStr">
        <is>
          <t>T1 · ROJO</t>
        </is>
      </c>
      <c r="E24" s="5" t="inlineStr">
        <is>
          <t>POLITRAUMATISMO GRAVE</t>
        </is>
      </c>
      <c r="F24" s="6" t="n">
        <v>41</v>
      </c>
      <c r="G24" s="6" t="inlineStr">
        <is>
          <t>Adulto</t>
        </is>
      </c>
      <c r="H24" s="6" t="n">
        <v>90</v>
      </c>
      <c r="I24" s="6" t="n">
        <v>1530</v>
      </c>
      <c r="J24" s="5" t="inlineStr">
        <is>
          <t>Andrés Martínez</t>
        </is>
      </c>
    </row>
    <row r="25">
      <c r="A25" s="14" t="n">
        <v>22</v>
      </c>
      <c r="B25" s="6" t="n">
        <v>70</v>
      </c>
      <c r="C25" s="5" t="inlineStr">
        <is>
          <t>Carlos Muñoz Ramírez</t>
        </is>
      </c>
      <c r="D25" s="8" t="inlineStr">
        <is>
          <t>T2 · NARANJA</t>
        </is>
      </c>
      <c r="E25" s="5" t="inlineStr">
        <is>
          <t>ACV / DERRAME CEREBRAL</t>
        </is>
      </c>
      <c r="F25" s="6" t="n">
        <v>0</v>
      </c>
      <c r="G25" s="6" t="inlineStr">
        <is>
          <t>Neonato</t>
        </is>
      </c>
      <c r="H25" s="6" t="n">
        <v>50</v>
      </c>
      <c r="I25" s="6" t="n">
        <v>1620</v>
      </c>
      <c r="J25" s="5" t="inlineStr">
        <is>
          <t>Carlos Ramírez</t>
        </is>
      </c>
    </row>
    <row r="26">
      <c r="A26" s="13" t="n">
        <v>23</v>
      </c>
      <c r="B26" s="6" t="n">
        <v>16</v>
      </c>
      <c r="C26" s="5" t="inlineStr">
        <is>
          <t>Luis Vargas Bernal</t>
        </is>
      </c>
      <c r="D26" s="8" t="inlineStr">
        <is>
          <t>T2 · NARANJA</t>
        </is>
      </c>
      <c r="E26" s="5" t="inlineStr">
        <is>
          <t>DIFICULTAD RESPIRATORIA SEVERA</t>
        </is>
      </c>
      <c r="F26" s="6" t="n">
        <v>76</v>
      </c>
      <c r="G26" s="6" t="inlineStr">
        <is>
          <t>Anciano</t>
        </is>
      </c>
      <c r="H26" s="6" t="n">
        <v>45</v>
      </c>
      <c r="I26" s="6" t="n">
        <v>1670</v>
      </c>
      <c r="J26" s="5" t="inlineStr">
        <is>
          <t>Felipe Herrera</t>
        </is>
      </c>
    </row>
    <row r="27">
      <c r="A27" s="14" t="n">
        <v>24</v>
      </c>
      <c r="B27" s="6" t="n">
        <v>82</v>
      </c>
      <c r="C27" s="5" t="inlineStr">
        <is>
          <t>Fernanda Pardo Castro</t>
        </is>
      </c>
      <c r="D27" s="8" t="inlineStr">
        <is>
          <t>T2 · NARANJA</t>
        </is>
      </c>
      <c r="E27" s="5" t="inlineStr">
        <is>
          <t>ACV / DERRAME CEREBRAL</t>
        </is>
      </c>
      <c r="F27" s="6" t="n">
        <v>0</v>
      </c>
      <c r="G27" s="6" t="inlineStr">
        <is>
          <t>Neonato</t>
        </is>
      </c>
      <c r="H27" s="6" t="n">
        <v>50</v>
      </c>
      <c r="I27" s="6" t="n">
        <v>1715</v>
      </c>
      <c r="J27" s="5" t="inlineStr">
        <is>
          <t>Carlos Ramírez</t>
        </is>
      </c>
    </row>
    <row r="28">
      <c r="A28" s="13" t="n">
        <v>25</v>
      </c>
      <c r="B28" s="6" t="n">
        <v>52</v>
      </c>
      <c r="C28" s="5" t="inlineStr">
        <is>
          <t>Daniela Martínez Pardo</t>
        </is>
      </c>
      <c r="D28" s="8" t="inlineStr">
        <is>
          <t>T2 · NARANJA</t>
        </is>
      </c>
      <c r="E28" s="5" t="inlineStr">
        <is>
          <t>ACV / DERRAME CEREBRAL</t>
        </is>
      </c>
      <c r="F28" s="6" t="n">
        <v>82</v>
      </c>
      <c r="G28" s="6" t="inlineStr">
        <is>
          <t>Anciano</t>
        </is>
      </c>
      <c r="H28" s="6" t="n">
        <v>50</v>
      </c>
      <c r="I28" s="6" t="n">
        <v>1765</v>
      </c>
      <c r="J28" s="5" t="inlineStr">
        <is>
          <t>Carlos Ramírez</t>
        </is>
      </c>
    </row>
    <row r="29">
      <c r="A29" s="14" t="n">
        <v>26</v>
      </c>
      <c r="B29" s="6" t="n">
        <v>150</v>
      </c>
      <c r="C29" s="5" t="inlineStr">
        <is>
          <t>Nicolás Cruz Cárdenas</t>
        </is>
      </c>
      <c r="D29" s="8" t="inlineStr">
        <is>
          <t>T2 · NARANJA</t>
        </is>
      </c>
      <c r="E29" s="5" t="inlineStr">
        <is>
          <t>ACV / DERRAME CEREBRAL</t>
        </is>
      </c>
      <c r="F29" s="6" t="n">
        <v>1</v>
      </c>
      <c r="G29" s="6" t="inlineStr">
        <is>
          <t>Neonato</t>
        </is>
      </c>
      <c r="H29" s="6" t="n">
        <v>50</v>
      </c>
      <c r="I29" s="6" t="n">
        <v>1815</v>
      </c>
      <c r="J29" s="5" t="inlineStr">
        <is>
          <t>Carlos Ramírez</t>
        </is>
      </c>
    </row>
    <row r="30">
      <c r="A30" s="13" t="n">
        <v>27</v>
      </c>
      <c r="B30" s="6" t="n">
        <v>66</v>
      </c>
      <c r="C30" s="5" t="inlineStr">
        <is>
          <t>Fernanda Castro Ospina</t>
        </is>
      </c>
      <c r="D30" s="8" t="inlineStr">
        <is>
          <t>T2 · NARANJA</t>
        </is>
      </c>
      <c r="E30" s="5" t="inlineStr">
        <is>
          <t>ACV / DERRAME CEREBRAL</t>
        </is>
      </c>
      <c r="F30" s="6" t="n">
        <v>80</v>
      </c>
      <c r="G30" s="6" t="inlineStr">
        <is>
          <t>Anciano</t>
        </is>
      </c>
      <c r="H30" s="6" t="n">
        <v>50</v>
      </c>
      <c r="I30" s="6" t="n">
        <v>1865</v>
      </c>
      <c r="J30" s="5" t="inlineStr">
        <is>
          <t>Laura Gómez</t>
        </is>
      </c>
    </row>
    <row r="31">
      <c r="A31" s="14" t="n">
        <v>28</v>
      </c>
      <c r="B31" s="6" t="n">
        <v>80</v>
      </c>
      <c r="C31" s="5" t="inlineStr">
        <is>
          <t>Natalia Díaz Muñoz</t>
        </is>
      </c>
      <c r="D31" s="8" t="inlineStr">
        <is>
          <t>T2 · NARANJA</t>
        </is>
      </c>
      <c r="E31" s="5" t="inlineStr">
        <is>
          <t>DIFICULTAD RESPIRATORIA SEVERA</t>
        </is>
      </c>
      <c r="F31" s="6" t="n">
        <v>75</v>
      </c>
      <c r="G31" s="6" t="inlineStr">
        <is>
          <t>Anciano</t>
        </is>
      </c>
      <c r="H31" s="6" t="n">
        <v>45</v>
      </c>
      <c r="I31" s="6" t="n">
        <v>1915</v>
      </c>
      <c r="J31" s="5" t="inlineStr">
        <is>
          <t>Carlos Ramírez</t>
        </is>
      </c>
    </row>
    <row r="32">
      <c r="A32" s="13" t="n">
        <v>29</v>
      </c>
      <c r="B32" s="6" t="n">
        <v>110</v>
      </c>
      <c r="C32" s="5" t="inlineStr">
        <is>
          <t>Andrés Martínez Bernal</t>
        </is>
      </c>
      <c r="D32" s="8" t="inlineStr">
        <is>
          <t>T2 · NARANJA</t>
        </is>
      </c>
      <c r="E32" s="5" t="inlineStr">
        <is>
          <t>ACV / DERRAME CEREBRAL</t>
        </is>
      </c>
      <c r="F32" s="6" t="n">
        <v>81</v>
      </c>
      <c r="G32" s="6" t="inlineStr">
        <is>
          <t>Anciano</t>
        </is>
      </c>
      <c r="H32" s="6" t="n">
        <v>50</v>
      </c>
      <c r="I32" s="6" t="n">
        <v>1960</v>
      </c>
      <c r="J32" s="5" t="inlineStr">
        <is>
          <t>Laura Gómez</t>
        </is>
      </c>
    </row>
    <row r="33">
      <c r="A33" s="14" t="n">
        <v>30</v>
      </c>
      <c r="B33" s="6" t="n">
        <v>11</v>
      </c>
      <c r="C33" s="5" t="inlineStr">
        <is>
          <t>Miguel Gómez Cárdenas</t>
        </is>
      </c>
      <c r="D33" s="8" t="inlineStr">
        <is>
          <t>T2 · NARANJA</t>
        </is>
      </c>
      <c r="E33" s="5" t="inlineStr">
        <is>
          <t>ACV / DERRAME CEREBRAL</t>
        </is>
      </c>
      <c r="F33" s="6" t="n">
        <v>5</v>
      </c>
      <c r="G33" s="6" t="inlineStr">
        <is>
          <t>Infante</t>
        </is>
      </c>
      <c r="H33" s="6" t="n">
        <v>50</v>
      </c>
      <c r="I33" s="6" t="n">
        <v>2010</v>
      </c>
      <c r="J33" s="5" t="inlineStr">
        <is>
          <t>Felipe Herrera</t>
        </is>
      </c>
    </row>
    <row r="34">
      <c r="A34" s="13" t="n">
        <v>31</v>
      </c>
      <c r="B34" s="6" t="n">
        <v>8</v>
      </c>
      <c r="C34" s="5" t="inlineStr">
        <is>
          <t>Claudia Morales Torres</t>
        </is>
      </c>
      <c r="D34" s="8" t="inlineStr">
        <is>
          <t>T2 · NARANJA</t>
        </is>
      </c>
      <c r="E34" s="5" t="inlineStr">
        <is>
          <t>DIFICULTAD RESPIRATORIA SEVERA</t>
        </is>
      </c>
      <c r="F34" s="6" t="n">
        <v>62</v>
      </c>
      <c r="G34" s="6" t="inlineStr">
        <is>
          <t>Adulto mayor</t>
        </is>
      </c>
      <c r="H34" s="6" t="n">
        <v>45</v>
      </c>
      <c r="I34" s="6" t="n">
        <v>2060</v>
      </c>
      <c r="J34" s="5" t="inlineStr">
        <is>
          <t>Felipe Herrera</t>
        </is>
      </c>
    </row>
    <row r="35">
      <c r="A35" s="14" t="n">
        <v>32</v>
      </c>
      <c r="B35" s="6" t="n">
        <v>116</v>
      </c>
      <c r="C35" s="5" t="inlineStr">
        <is>
          <t>Laura Castro Martínez</t>
        </is>
      </c>
      <c r="D35" s="8" t="inlineStr">
        <is>
          <t>T2 · NARANJA</t>
        </is>
      </c>
      <c r="E35" s="5" t="inlineStr">
        <is>
          <t>DIFICULTAD RESPIRATORIA SEVERA</t>
        </is>
      </c>
      <c r="F35" s="6" t="n">
        <v>68</v>
      </c>
      <c r="G35" s="6" t="inlineStr">
        <is>
          <t>Adulto mayor</t>
        </is>
      </c>
      <c r="H35" s="6" t="n">
        <v>45</v>
      </c>
      <c r="I35" s="6" t="n">
        <v>2105</v>
      </c>
      <c r="J35" s="5" t="inlineStr">
        <is>
          <t>Sofía Torres</t>
        </is>
      </c>
    </row>
    <row r="36">
      <c r="A36" s="13" t="n">
        <v>33</v>
      </c>
      <c r="B36" s="6" t="n">
        <v>72</v>
      </c>
      <c r="C36" s="5" t="inlineStr">
        <is>
          <t>Camila Castro Bernal</t>
        </is>
      </c>
      <c r="D36" s="8" t="inlineStr">
        <is>
          <t>T2 · NARANJA</t>
        </is>
      </c>
      <c r="E36" s="5" t="inlineStr">
        <is>
          <t>DIFICULTAD RESPIRATORIA SEVERA</t>
        </is>
      </c>
      <c r="F36" s="6" t="n">
        <v>73</v>
      </c>
      <c r="G36" s="6" t="inlineStr">
        <is>
          <t>Adulto mayor</t>
        </is>
      </c>
      <c r="H36" s="6" t="n">
        <v>45</v>
      </c>
      <c r="I36" s="6" t="n">
        <v>2150</v>
      </c>
      <c r="J36" s="5" t="inlineStr">
        <is>
          <t>Felipe Herrera</t>
        </is>
      </c>
    </row>
    <row r="37">
      <c r="A37" s="14" t="n">
        <v>34</v>
      </c>
      <c r="B37" s="6" t="n">
        <v>91</v>
      </c>
      <c r="C37" s="5" t="inlineStr">
        <is>
          <t>Fernanda Reyes Pardo</t>
        </is>
      </c>
      <c r="D37" s="8" t="inlineStr">
        <is>
          <t>T2 · NARANJA</t>
        </is>
      </c>
      <c r="E37" s="5" t="inlineStr">
        <is>
          <t>DIFICULTAD RESPIRATORIA SEVERA</t>
        </is>
      </c>
      <c r="F37" s="6" t="n">
        <v>74</v>
      </c>
      <c r="G37" s="6" t="inlineStr">
        <is>
          <t>Adulto mayor</t>
        </is>
      </c>
      <c r="H37" s="6" t="n">
        <v>45</v>
      </c>
      <c r="I37" s="6" t="n">
        <v>2195</v>
      </c>
      <c r="J37" s="5" t="inlineStr">
        <is>
          <t>Laura Gómez</t>
        </is>
      </c>
    </row>
    <row r="38">
      <c r="A38" s="13" t="n">
        <v>35</v>
      </c>
      <c r="B38" s="6" t="n">
        <v>53</v>
      </c>
      <c r="C38" s="5" t="inlineStr">
        <is>
          <t>Camilo Gómez Ospina</t>
        </is>
      </c>
      <c r="D38" s="8" t="inlineStr">
        <is>
          <t>T2 · NARANJA</t>
        </is>
      </c>
      <c r="E38" s="5" t="inlineStr">
        <is>
          <t>DIFICULTAD RESPIRATORIA SEVERA</t>
        </is>
      </c>
      <c r="F38" s="6" t="n">
        <v>60</v>
      </c>
      <c r="G38" s="6" t="inlineStr">
        <is>
          <t>Adulto mayor</t>
        </is>
      </c>
      <c r="H38" s="6" t="n">
        <v>45</v>
      </c>
      <c r="I38" s="6" t="n">
        <v>2240</v>
      </c>
      <c r="J38" s="5" t="inlineStr">
        <is>
          <t>Laura Gómez</t>
        </is>
      </c>
    </row>
    <row r="39">
      <c r="A39" s="14" t="n">
        <v>36</v>
      </c>
      <c r="B39" s="6" t="n">
        <v>30</v>
      </c>
      <c r="C39" s="5" t="inlineStr">
        <is>
          <t>Paula Bernal Alvarado</t>
        </is>
      </c>
      <c r="D39" s="8" t="inlineStr">
        <is>
          <t>T2 · NARANJA</t>
        </is>
      </c>
      <c r="E39" s="5" t="inlineStr">
        <is>
          <t>DIFICULTAD RESPIRATORIA SEVERA</t>
        </is>
      </c>
      <c r="F39" s="6" t="n">
        <v>60</v>
      </c>
      <c r="G39" s="6" t="inlineStr">
        <is>
          <t>Adulto mayor</t>
        </is>
      </c>
      <c r="H39" s="6" t="n">
        <v>45</v>
      </c>
      <c r="I39" s="6" t="n">
        <v>2285</v>
      </c>
      <c r="J39" s="5" t="inlineStr">
        <is>
          <t>Carlos Ramírez</t>
        </is>
      </c>
    </row>
    <row r="40">
      <c r="A40" s="13" t="n">
        <v>37</v>
      </c>
      <c r="B40" s="6" t="n">
        <v>15</v>
      </c>
      <c r="C40" s="5" t="inlineStr">
        <is>
          <t>Camilo Díaz Sánchez</t>
        </is>
      </c>
      <c r="D40" s="8" t="inlineStr">
        <is>
          <t>T2 · NARANJA</t>
        </is>
      </c>
      <c r="E40" s="5" t="inlineStr">
        <is>
          <t>ACV / DERRAME CEREBRAL</t>
        </is>
      </c>
      <c r="F40" s="6" t="n">
        <v>63</v>
      </c>
      <c r="G40" s="6" t="inlineStr">
        <is>
          <t>Adulto mayor</t>
        </is>
      </c>
      <c r="H40" s="6" t="n">
        <v>50</v>
      </c>
      <c r="I40" s="6" t="n">
        <v>2330</v>
      </c>
      <c r="J40" s="5" t="inlineStr">
        <is>
          <t>Carlos Ramírez</t>
        </is>
      </c>
    </row>
    <row r="41">
      <c r="A41" s="14" t="n">
        <v>38</v>
      </c>
      <c r="B41" s="6" t="n">
        <v>79</v>
      </c>
      <c r="C41" s="5" t="inlineStr">
        <is>
          <t>Isabella Cruz Jiménez</t>
        </is>
      </c>
      <c r="D41" s="8" t="inlineStr">
        <is>
          <t>T2 · NARANJA</t>
        </is>
      </c>
      <c r="E41" s="5" t="inlineStr">
        <is>
          <t>ACV / DERRAME CEREBRAL</t>
        </is>
      </c>
      <c r="F41" s="6" t="n">
        <v>61</v>
      </c>
      <c r="G41" s="6" t="inlineStr">
        <is>
          <t>Adulto mayor</t>
        </is>
      </c>
      <c r="H41" s="6" t="n">
        <v>50</v>
      </c>
      <c r="I41" s="6" t="n">
        <v>2380</v>
      </c>
      <c r="J41" s="5" t="inlineStr">
        <is>
          <t>Sofía Torres</t>
        </is>
      </c>
    </row>
    <row r="42">
      <c r="A42" s="13" t="n">
        <v>39</v>
      </c>
      <c r="B42" s="6" t="n">
        <v>29</v>
      </c>
      <c r="C42" s="5" t="inlineStr">
        <is>
          <t>Nicolás Alvarado Castro</t>
        </is>
      </c>
      <c r="D42" s="8" t="inlineStr">
        <is>
          <t>T2 · NARANJA</t>
        </is>
      </c>
      <c r="E42" s="5" t="inlineStr">
        <is>
          <t>ACV / DERRAME CEREBRAL</t>
        </is>
      </c>
      <c r="F42" s="6" t="n">
        <v>71</v>
      </c>
      <c r="G42" s="6" t="inlineStr">
        <is>
          <t>Adulto mayor</t>
        </is>
      </c>
      <c r="H42" s="6" t="n">
        <v>50</v>
      </c>
      <c r="I42" s="6" t="n">
        <v>2430</v>
      </c>
      <c r="J42" s="5" t="inlineStr">
        <is>
          <t>Andrés Martínez</t>
        </is>
      </c>
    </row>
    <row r="43">
      <c r="A43" s="14" t="n">
        <v>40</v>
      </c>
      <c r="B43" s="6" t="n">
        <v>132</v>
      </c>
      <c r="C43" s="5" t="inlineStr">
        <is>
          <t>Juan Jiménez Ospina</t>
        </is>
      </c>
      <c r="D43" s="8" t="inlineStr">
        <is>
          <t>T2 · NARANJA</t>
        </is>
      </c>
      <c r="E43" s="5" t="inlineStr">
        <is>
          <t>ACV / DERRAME CEREBRAL</t>
        </is>
      </c>
      <c r="F43" s="6" t="n">
        <v>18</v>
      </c>
      <c r="G43" s="6" t="inlineStr">
        <is>
          <t>Adulto</t>
        </is>
      </c>
      <c r="H43" s="6" t="n">
        <v>50</v>
      </c>
      <c r="I43" s="6" t="n">
        <v>2480</v>
      </c>
      <c r="J43" s="5" t="inlineStr">
        <is>
          <t>Laura Gómez</t>
        </is>
      </c>
    </row>
    <row r="44">
      <c r="A44" s="13" t="n">
        <v>41</v>
      </c>
      <c r="B44" s="6" t="n">
        <v>68</v>
      </c>
      <c r="C44" s="5" t="inlineStr">
        <is>
          <t>Daniela Sánchez Muñoz</t>
        </is>
      </c>
      <c r="D44" s="8" t="inlineStr">
        <is>
          <t>T2 · NARANJA</t>
        </is>
      </c>
      <c r="E44" s="5" t="inlineStr">
        <is>
          <t>DIFICULTAD RESPIRATORIA SEVERA</t>
        </is>
      </c>
      <c r="F44" s="6" t="n">
        <v>45</v>
      </c>
      <c r="G44" s="6" t="inlineStr">
        <is>
          <t>Adulto</t>
        </is>
      </c>
      <c r="H44" s="6" t="n">
        <v>45</v>
      </c>
      <c r="I44" s="6" t="n">
        <v>2530</v>
      </c>
      <c r="J44" s="5" t="inlineStr">
        <is>
          <t>Laura Gómez</t>
        </is>
      </c>
    </row>
    <row r="45">
      <c r="A45" s="14" t="n">
        <v>42</v>
      </c>
      <c r="B45" s="6" t="n">
        <v>77</v>
      </c>
      <c r="C45" s="5" t="inlineStr">
        <is>
          <t>Sebastián Gómez Pardo</t>
        </is>
      </c>
      <c r="D45" s="8" t="inlineStr">
        <is>
          <t>T2 · NARANJA</t>
        </is>
      </c>
      <c r="E45" s="5" t="inlineStr">
        <is>
          <t>DIFICULTAD RESPIRATORIA SEVERA</t>
        </is>
      </c>
      <c r="F45" s="6" t="n">
        <v>36</v>
      </c>
      <c r="G45" s="6" t="inlineStr">
        <is>
          <t>Adulto</t>
        </is>
      </c>
      <c r="H45" s="6" t="n">
        <v>45</v>
      </c>
      <c r="I45" s="6" t="n">
        <v>2575</v>
      </c>
      <c r="J45" s="5" t="inlineStr">
        <is>
          <t>Felipe Herrera</t>
        </is>
      </c>
    </row>
    <row r="46">
      <c r="A46" s="13" t="n">
        <v>43</v>
      </c>
      <c r="B46" s="6" t="n">
        <v>123</v>
      </c>
      <c r="C46" s="5" t="inlineStr">
        <is>
          <t>Daniel López Medina</t>
        </is>
      </c>
      <c r="D46" s="8" t="inlineStr">
        <is>
          <t>T2 · NARANJA</t>
        </is>
      </c>
      <c r="E46" s="5" t="inlineStr">
        <is>
          <t>ACV / DERRAME CEREBRAL</t>
        </is>
      </c>
      <c r="F46" s="6" t="n">
        <v>13</v>
      </c>
      <c r="G46" s="6" t="inlineStr">
        <is>
          <t>Menor de edad</t>
        </is>
      </c>
      <c r="H46" s="6" t="n">
        <v>50</v>
      </c>
      <c r="I46" s="6" t="n">
        <v>2620</v>
      </c>
      <c r="J46" s="5" t="inlineStr">
        <is>
          <t>Felipe Herrera</t>
        </is>
      </c>
    </row>
    <row r="47">
      <c r="A47" s="14" t="n">
        <v>44</v>
      </c>
      <c r="B47" s="6" t="n">
        <v>117</v>
      </c>
      <c r="C47" s="5" t="inlineStr">
        <is>
          <t>Carlos Cruz García</t>
        </is>
      </c>
      <c r="D47" s="8" t="inlineStr">
        <is>
          <t>T2 · NARANJA</t>
        </is>
      </c>
      <c r="E47" s="5" t="inlineStr">
        <is>
          <t>ACV / DERRAME CEREBRAL</t>
        </is>
      </c>
      <c r="F47" s="6" t="n">
        <v>46</v>
      </c>
      <c r="G47" s="6" t="inlineStr">
        <is>
          <t>Adulto</t>
        </is>
      </c>
      <c r="H47" s="6" t="n">
        <v>50</v>
      </c>
      <c r="I47" s="6" t="n">
        <v>2670</v>
      </c>
      <c r="J47" s="5" t="inlineStr">
        <is>
          <t>Carlos Ramírez</t>
        </is>
      </c>
    </row>
    <row r="48">
      <c r="A48" s="13" t="n">
        <v>45</v>
      </c>
      <c r="B48" s="6" t="n">
        <v>22</v>
      </c>
      <c r="C48" s="5" t="inlineStr">
        <is>
          <t>Sofía López Ospina</t>
        </is>
      </c>
      <c r="D48" s="8" t="inlineStr">
        <is>
          <t>T2 · NARANJA</t>
        </is>
      </c>
      <c r="E48" s="5" t="inlineStr">
        <is>
          <t>DIFICULTAD RESPIRATORIA SEVERA</t>
        </is>
      </c>
      <c r="F48" s="6" t="n">
        <v>49</v>
      </c>
      <c r="G48" s="6" t="inlineStr">
        <is>
          <t>Adulto</t>
        </is>
      </c>
      <c r="H48" s="6" t="n">
        <v>45</v>
      </c>
      <c r="I48" s="6" t="n">
        <v>2720</v>
      </c>
      <c r="J48" s="5" t="inlineStr">
        <is>
          <t>Andrés Martínez</t>
        </is>
      </c>
    </row>
    <row r="49">
      <c r="A49" s="14" t="n">
        <v>46</v>
      </c>
      <c r="B49" s="6" t="n">
        <v>95</v>
      </c>
      <c r="C49" s="5" t="inlineStr">
        <is>
          <t>David Moreno Díaz</t>
        </is>
      </c>
      <c r="D49" s="8" t="inlineStr">
        <is>
          <t>T2 · NARANJA</t>
        </is>
      </c>
      <c r="E49" s="5" t="inlineStr">
        <is>
          <t>ACV / DERRAME CEREBRAL</t>
        </is>
      </c>
      <c r="F49" s="6" t="n">
        <v>20</v>
      </c>
      <c r="G49" s="6" t="inlineStr">
        <is>
          <t>Adulto</t>
        </is>
      </c>
      <c r="H49" s="6" t="n">
        <v>50</v>
      </c>
      <c r="I49" s="6" t="n">
        <v>2765</v>
      </c>
      <c r="J49" s="5" t="inlineStr">
        <is>
          <t>Andrés Martínez</t>
        </is>
      </c>
    </row>
    <row r="50">
      <c r="A50" s="13" t="n">
        <v>47</v>
      </c>
      <c r="B50" s="6" t="n">
        <v>42</v>
      </c>
      <c r="C50" s="5" t="inlineStr">
        <is>
          <t>Miguel Medina Rodríguez</t>
        </is>
      </c>
      <c r="D50" s="8" t="inlineStr">
        <is>
          <t>T2 · NARANJA</t>
        </is>
      </c>
      <c r="E50" s="5" t="inlineStr">
        <is>
          <t>DIFICULTAD RESPIRATORIA SEVERA</t>
        </is>
      </c>
      <c r="F50" s="6" t="n">
        <v>22</v>
      </c>
      <c r="G50" s="6" t="inlineStr">
        <is>
          <t>Adulto</t>
        </is>
      </c>
      <c r="H50" s="6" t="n">
        <v>45</v>
      </c>
      <c r="I50" s="6" t="n">
        <v>2815</v>
      </c>
      <c r="J50" s="5" t="inlineStr">
        <is>
          <t>Sofía Torres</t>
        </is>
      </c>
    </row>
    <row r="51">
      <c r="A51" s="14" t="n">
        <v>48</v>
      </c>
      <c r="B51" s="6" t="n">
        <v>136</v>
      </c>
      <c r="C51" s="5" t="inlineStr">
        <is>
          <t>Isabella Cruz Medina</t>
        </is>
      </c>
      <c r="D51" s="7" t="inlineStr">
        <is>
          <t>T3 · AMARILLO</t>
        </is>
      </c>
      <c r="E51" s="5" t="inlineStr">
        <is>
          <t>FRACTURA CON COMPROMISO VASCULAR</t>
        </is>
      </c>
      <c r="F51" s="6" t="n">
        <v>89</v>
      </c>
      <c r="G51" s="6" t="inlineStr">
        <is>
          <t>Anciano</t>
        </is>
      </c>
      <c r="H51" s="6" t="n">
        <v>35</v>
      </c>
      <c r="I51" s="6" t="n">
        <v>2860</v>
      </c>
      <c r="J51" s="5" t="inlineStr">
        <is>
          <t>Felipe Herrera</t>
        </is>
      </c>
    </row>
    <row r="52">
      <c r="A52" s="13" t="n">
        <v>49</v>
      </c>
      <c r="B52" s="6" t="n">
        <v>65</v>
      </c>
      <c r="C52" s="5" t="inlineStr">
        <is>
          <t>Valentina Bernal Díaz</t>
        </is>
      </c>
      <c r="D52" s="7" t="inlineStr">
        <is>
          <t>T3 · AMARILLO</t>
        </is>
      </c>
      <c r="E52" s="5" t="inlineStr">
        <is>
          <t>DOLOR ABDOMINAL AGUDO</t>
        </is>
      </c>
      <c r="F52" s="6" t="n">
        <v>75</v>
      </c>
      <c r="G52" s="6" t="inlineStr">
        <is>
          <t>Anciano</t>
        </is>
      </c>
      <c r="H52" s="6" t="n">
        <v>30</v>
      </c>
      <c r="I52" s="6" t="n">
        <v>2895</v>
      </c>
      <c r="J52" s="5" t="inlineStr">
        <is>
          <t>Laura Gómez</t>
        </is>
      </c>
    </row>
    <row r="53">
      <c r="A53" s="14" t="n">
        <v>50</v>
      </c>
      <c r="B53" s="6" t="n">
        <v>19</v>
      </c>
      <c r="C53" s="5" t="inlineStr">
        <is>
          <t>Alejandra Gómez Castro</t>
        </is>
      </c>
      <c r="D53" s="7" t="inlineStr">
        <is>
          <t>T3 · AMARILLO</t>
        </is>
      </c>
      <c r="E53" s="5" t="inlineStr">
        <is>
          <t>FRACTURA CON COMPROMISO VASCULAR</t>
        </is>
      </c>
      <c r="F53" s="6" t="n">
        <v>85</v>
      </c>
      <c r="G53" s="6" t="inlineStr">
        <is>
          <t>Anciano</t>
        </is>
      </c>
      <c r="H53" s="6" t="n">
        <v>35</v>
      </c>
      <c r="I53" s="6" t="n">
        <v>2925</v>
      </c>
      <c r="J53" s="5" t="inlineStr">
        <is>
          <t>Sofía Torres</t>
        </is>
      </c>
    </row>
    <row r="54">
      <c r="A54" s="13" t="n">
        <v>51</v>
      </c>
      <c r="B54" s="6" t="n">
        <v>14</v>
      </c>
      <c r="C54" s="5" t="inlineStr">
        <is>
          <t>Ana Cárdenas Morales</t>
        </is>
      </c>
      <c r="D54" s="7" t="inlineStr">
        <is>
          <t>T3 · AMARILLO</t>
        </is>
      </c>
      <c r="E54" s="5" t="inlineStr">
        <is>
          <t>DOLOR ABDOMINAL AGUDO</t>
        </is>
      </c>
      <c r="F54" s="6" t="n">
        <v>1</v>
      </c>
      <c r="G54" s="6" t="inlineStr">
        <is>
          <t>Neonato</t>
        </is>
      </c>
      <c r="H54" s="6" t="n">
        <v>30</v>
      </c>
      <c r="I54" s="6" t="n">
        <v>2960</v>
      </c>
      <c r="J54" s="5" t="inlineStr">
        <is>
          <t>Carlos Ramírez</t>
        </is>
      </c>
    </row>
    <row r="55">
      <c r="A55" s="14" t="n">
        <v>52</v>
      </c>
      <c r="B55" s="6" t="n">
        <v>40</v>
      </c>
      <c r="C55" s="5" t="inlineStr">
        <is>
          <t>Ana Herrera Gómez</t>
        </is>
      </c>
      <c r="D55" s="7" t="inlineStr">
        <is>
          <t>T3 · AMARILLO</t>
        </is>
      </c>
      <c r="E55" s="5" t="inlineStr">
        <is>
          <t>DOLOR ABDOMINAL AGUDO</t>
        </is>
      </c>
      <c r="F55" s="6" t="n">
        <v>88</v>
      </c>
      <c r="G55" s="6" t="inlineStr">
        <is>
          <t>Anciano</t>
        </is>
      </c>
      <c r="H55" s="6" t="n">
        <v>30</v>
      </c>
      <c r="I55" s="6" t="n">
        <v>2990</v>
      </c>
      <c r="J55" s="5" t="inlineStr">
        <is>
          <t>Laura Gómez</t>
        </is>
      </c>
    </row>
    <row r="56">
      <c r="A56" s="13" t="n">
        <v>53</v>
      </c>
      <c r="B56" s="6" t="n">
        <v>90</v>
      </c>
      <c r="C56" s="5" t="inlineStr">
        <is>
          <t>Mariana López Sánchez</t>
        </is>
      </c>
      <c r="D56" s="7" t="inlineStr">
        <is>
          <t>T3 · AMARILLO</t>
        </is>
      </c>
      <c r="E56" s="5" t="inlineStr">
        <is>
          <t>DOLOR ABDOMINAL AGUDO</t>
        </is>
      </c>
      <c r="F56" s="6" t="n">
        <v>85</v>
      </c>
      <c r="G56" s="6" t="inlineStr">
        <is>
          <t>Anciano</t>
        </is>
      </c>
      <c r="H56" s="6" t="n">
        <v>30</v>
      </c>
      <c r="I56" s="6" t="n">
        <v>3020</v>
      </c>
      <c r="J56" s="5" t="inlineStr">
        <is>
          <t>Andrés Martínez</t>
        </is>
      </c>
    </row>
    <row r="57">
      <c r="A57" s="14" t="n">
        <v>54</v>
      </c>
      <c r="B57" s="6" t="n">
        <v>102</v>
      </c>
      <c r="C57" s="5" t="inlineStr">
        <is>
          <t>Alejandro Torres Moreno</t>
        </is>
      </c>
      <c r="D57" s="7" t="inlineStr">
        <is>
          <t>T3 · AMARILLO</t>
        </is>
      </c>
      <c r="E57" s="5" t="inlineStr">
        <is>
          <t>DOLOR ABDOMINAL AGUDO</t>
        </is>
      </c>
      <c r="F57" s="6" t="n">
        <v>78</v>
      </c>
      <c r="G57" s="6" t="inlineStr">
        <is>
          <t>Anciano</t>
        </is>
      </c>
      <c r="H57" s="6" t="n">
        <v>30</v>
      </c>
      <c r="I57" s="6" t="n">
        <v>3050</v>
      </c>
      <c r="J57" s="5" t="inlineStr">
        <is>
          <t>Carlos Ramírez</t>
        </is>
      </c>
    </row>
    <row r="58">
      <c r="A58" s="13" t="n">
        <v>55</v>
      </c>
      <c r="B58" s="6" t="n">
        <v>27</v>
      </c>
      <c r="C58" s="5" t="inlineStr">
        <is>
          <t>Luis Cárdenas Martínez</t>
        </is>
      </c>
      <c r="D58" s="7" t="inlineStr">
        <is>
          <t>T3 · AMARILLO</t>
        </is>
      </c>
      <c r="E58" s="5" t="inlineStr">
        <is>
          <t>DOLOR ABDOMINAL AGUDO</t>
        </is>
      </c>
      <c r="F58" s="6" t="n">
        <v>81</v>
      </c>
      <c r="G58" s="6" t="inlineStr">
        <is>
          <t>Anciano</t>
        </is>
      </c>
      <c r="H58" s="6" t="n">
        <v>30</v>
      </c>
      <c r="I58" s="6" t="n">
        <v>3080</v>
      </c>
      <c r="J58" s="5" t="inlineStr">
        <is>
          <t>Sofía Torres</t>
        </is>
      </c>
    </row>
    <row r="59">
      <c r="A59" s="14" t="n">
        <v>56</v>
      </c>
      <c r="B59" s="6" t="n">
        <v>93</v>
      </c>
      <c r="C59" s="5" t="inlineStr">
        <is>
          <t>Nicolás López Herrera</t>
        </is>
      </c>
      <c r="D59" s="7" t="inlineStr">
        <is>
          <t>T3 · AMARILLO</t>
        </is>
      </c>
      <c r="E59" s="5" t="inlineStr">
        <is>
          <t>FRACTURA CON COMPROMISO VASCULAR</t>
        </is>
      </c>
      <c r="F59" s="6" t="n">
        <v>2</v>
      </c>
      <c r="G59" s="6" t="inlineStr">
        <is>
          <t>Infante</t>
        </is>
      </c>
      <c r="H59" s="6" t="n">
        <v>35</v>
      </c>
      <c r="I59" s="6" t="n">
        <v>3110</v>
      </c>
      <c r="J59" s="5" t="inlineStr">
        <is>
          <t>Felipe Herrera</t>
        </is>
      </c>
    </row>
    <row r="60">
      <c r="A60" s="13" t="n">
        <v>57</v>
      </c>
      <c r="B60" s="6" t="n">
        <v>37</v>
      </c>
      <c r="C60" s="5" t="inlineStr">
        <is>
          <t>Juliana Jiménez Reyes</t>
        </is>
      </c>
      <c r="D60" s="7" t="inlineStr">
        <is>
          <t>T3 · AMARILLO</t>
        </is>
      </c>
      <c r="E60" s="5" t="inlineStr">
        <is>
          <t>DOLOR ABDOMINAL AGUDO</t>
        </is>
      </c>
      <c r="F60" s="6" t="n">
        <v>3</v>
      </c>
      <c r="G60" s="6" t="inlineStr">
        <is>
          <t>Infante</t>
        </is>
      </c>
      <c r="H60" s="6" t="n">
        <v>30</v>
      </c>
      <c r="I60" s="6" t="n">
        <v>3145</v>
      </c>
      <c r="J60" s="5" t="inlineStr">
        <is>
          <t>Laura Gómez</t>
        </is>
      </c>
    </row>
    <row r="61">
      <c r="A61" s="14" t="n">
        <v>58</v>
      </c>
      <c r="B61" s="6" t="n">
        <v>99</v>
      </c>
      <c r="C61" s="5" t="inlineStr">
        <is>
          <t>Sebastián Moreno Torres</t>
        </is>
      </c>
      <c r="D61" s="7" t="inlineStr">
        <is>
          <t>T3 · AMARILLO</t>
        </is>
      </c>
      <c r="E61" s="5" t="inlineStr">
        <is>
          <t>FRACTURA CON COMPROMISO VASCULAR</t>
        </is>
      </c>
      <c r="F61" s="6" t="n">
        <v>3</v>
      </c>
      <c r="G61" s="6" t="inlineStr">
        <is>
          <t>Infante</t>
        </is>
      </c>
      <c r="H61" s="6" t="n">
        <v>35</v>
      </c>
      <c r="I61" s="6" t="n">
        <v>3175</v>
      </c>
      <c r="J61" s="5" t="inlineStr">
        <is>
          <t>Laura Gómez</t>
        </is>
      </c>
    </row>
    <row r="62">
      <c r="A62" s="13" t="n">
        <v>59</v>
      </c>
      <c r="B62" s="6" t="n">
        <v>125</v>
      </c>
      <c r="C62" s="5" t="inlineStr">
        <is>
          <t>Daniela Ríos Cárdenas</t>
        </is>
      </c>
      <c r="D62" s="7" t="inlineStr">
        <is>
          <t>T3 · AMARILLO</t>
        </is>
      </c>
      <c r="E62" s="5" t="inlineStr">
        <is>
          <t>DOLOR ABDOMINAL AGUDO</t>
        </is>
      </c>
      <c r="F62" s="6" t="n">
        <v>2</v>
      </c>
      <c r="G62" s="6" t="inlineStr">
        <is>
          <t>Infante</t>
        </is>
      </c>
      <c r="H62" s="6" t="n">
        <v>30</v>
      </c>
      <c r="I62" s="6" t="n">
        <v>3210</v>
      </c>
      <c r="J62" s="5" t="inlineStr">
        <is>
          <t>Carlos Ramírez</t>
        </is>
      </c>
    </row>
    <row r="63">
      <c r="A63" s="14" t="n">
        <v>60</v>
      </c>
      <c r="B63" s="6" t="n">
        <v>25</v>
      </c>
      <c r="C63" s="5" t="inlineStr">
        <is>
          <t>Natalia Jiménez Castro</t>
        </is>
      </c>
      <c r="D63" s="7" t="inlineStr">
        <is>
          <t>T3 · AMARILLO</t>
        </is>
      </c>
      <c r="E63" s="5" t="inlineStr">
        <is>
          <t>FRACTURA CON COMPROMISO VASCULAR</t>
        </is>
      </c>
      <c r="F63" s="6" t="n">
        <v>5</v>
      </c>
      <c r="G63" s="6" t="inlineStr">
        <is>
          <t>Infante</t>
        </is>
      </c>
      <c r="H63" s="6" t="n">
        <v>35</v>
      </c>
      <c r="I63" s="6" t="n">
        <v>3240</v>
      </c>
      <c r="J63" s="5" t="inlineStr">
        <is>
          <t>Sofía Torres</t>
        </is>
      </c>
    </row>
    <row r="64">
      <c r="A64" s="13" t="n">
        <v>61</v>
      </c>
      <c r="B64" s="6" t="n">
        <v>104</v>
      </c>
      <c r="C64" s="5" t="inlineStr">
        <is>
          <t>Laura Gómez Alvarado</t>
        </is>
      </c>
      <c r="D64" s="7" t="inlineStr">
        <is>
          <t>T3 · AMARILLO</t>
        </is>
      </c>
      <c r="E64" s="5" t="inlineStr">
        <is>
          <t>DOLOR ABDOMINAL AGUDO</t>
        </is>
      </c>
      <c r="F64" s="6" t="n">
        <v>65</v>
      </c>
      <c r="G64" s="6" t="inlineStr">
        <is>
          <t>Adulto mayor</t>
        </is>
      </c>
      <c r="H64" s="6" t="n">
        <v>30</v>
      </c>
      <c r="I64" s="6" t="n">
        <v>3275</v>
      </c>
      <c r="J64" s="5" t="inlineStr">
        <is>
          <t>Carlos Ramírez</t>
        </is>
      </c>
    </row>
    <row r="65">
      <c r="A65" s="14" t="n">
        <v>62</v>
      </c>
      <c r="B65" s="6" t="n">
        <v>31</v>
      </c>
      <c r="C65" s="5" t="inlineStr">
        <is>
          <t>Juliana Jiménez Cárdenas</t>
        </is>
      </c>
      <c r="D65" s="7" t="inlineStr">
        <is>
          <t>T3 · AMARILLO</t>
        </is>
      </c>
      <c r="E65" s="5" t="inlineStr">
        <is>
          <t>DOLOR ABDOMINAL AGUDO</t>
        </is>
      </c>
      <c r="F65" s="6" t="n">
        <v>68</v>
      </c>
      <c r="G65" s="6" t="inlineStr">
        <is>
          <t>Adulto mayor</t>
        </is>
      </c>
      <c r="H65" s="6" t="n">
        <v>30</v>
      </c>
      <c r="I65" s="6" t="n">
        <v>3305</v>
      </c>
      <c r="J65" s="5" t="inlineStr">
        <is>
          <t>Carlos Ramírez</t>
        </is>
      </c>
    </row>
    <row r="66">
      <c r="A66" s="13" t="n">
        <v>63</v>
      </c>
      <c r="B66" s="6" t="n">
        <v>1</v>
      </c>
      <c r="C66" s="5" t="inlineStr">
        <is>
          <t>Sebastián Sánchez Ríos</t>
        </is>
      </c>
      <c r="D66" s="7" t="inlineStr">
        <is>
          <t>T3 · AMARILLO</t>
        </is>
      </c>
      <c r="E66" s="5" t="inlineStr">
        <is>
          <t>FRACTURA CON COMPROMISO VASCULAR</t>
        </is>
      </c>
      <c r="F66" s="6" t="n">
        <v>62</v>
      </c>
      <c r="G66" s="6" t="inlineStr">
        <is>
          <t>Adulto mayor</t>
        </is>
      </c>
      <c r="H66" s="6" t="n">
        <v>35</v>
      </c>
      <c r="I66" s="6" t="n">
        <v>3335</v>
      </c>
      <c r="J66" s="5" t="inlineStr">
        <is>
          <t>Felipe Herrera</t>
        </is>
      </c>
    </row>
    <row r="67">
      <c r="A67" s="14" t="n">
        <v>64</v>
      </c>
      <c r="B67" s="6" t="n">
        <v>69</v>
      </c>
      <c r="C67" s="5" t="inlineStr">
        <is>
          <t>Valentina Ramírez Ríos</t>
        </is>
      </c>
      <c r="D67" s="7" t="inlineStr">
        <is>
          <t>T3 · AMARILLO</t>
        </is>
      </c>
      <c r="E67" s="5" t="inlineStr">
        <is>
          <t>DOLOR ABDOMINAL AGUDO</t>
        </is>
      </c>
      <c r="F67" s="6" t="n">
        <v>68</v>
      </c>
      <c r="G67" s="6" t="inlineStr">
        <is>
          <t>Adulto mayor</t>
        </is>
      </c>
      <c r="H67" s="6" t="n">
        <v>30</v>
      </c>
      <c r="I67" s="6" t="n">
        <v>3370</v>
      </c>
      <c r="J67" s="5" t="inlineStr">
        <is>
          <t>Felipe Herrera</t>
        </is>
      </c>
    </row>
    <row r="68">
      <c r="A68" s="13" t="n">
        <v>65</v>
      </c>
      <c r="B68" s="6" t="n">
        <v>18</v>
      </c>
      <c r="C68" s="5" t="inlineStr">
        <is>
          <t>Ana Gómez Jiménez</t>
        </is>
      </c>
      <c r="D68" s="7" t="inlineStr">
        <is>
          <t>T3 · AMARILLO</t>
        </is>
      </c>
      <c r="E68" s="5" t="inlineStr">
        <is>
          <t>DOLOR ABDOMINAL AGUDO</t>
        </is>
      </c>
      <c r="F68" s="6" t="n">
        <v>68</v>
      </c>
      <c r="G68" s="6" t="inlineStr">
        <is>
          <t>Adulto mayor</t>
        </is>
      </c>
      <c r="H68" s="6" t="n">
        <v>30</v>
      </c>
      <c r="I68" s="6" t="n">
        <v>3400</v>
      </c>
      <c r="J68" s="5" t="inlineStr">
        <is>
          <t>Laura Gómez</t>
        </is>
      </c>
    </row>
    <row r="69">
      <c r="A69" s="14" t="n">
        <v>66</v>
      </c>
      <c r="B69" s="6" t="n">
        <v>17</v>
      </c>
      <c r="C69" s="5" t="inlineStr">
        <is>
          <t>Claudia Medina Pardo</t>
        </is>
      </c>
      <c r="D69" s="7" t="inlineStr">
        <is>
          <t>T3 · AMARILLO</t>
        </is>
      </c>
      <c r="E69" s="5" t="inlineStr">
        <is>
          <t>FRACTURA CON COMPROMISO VASCULAR</t>
        </is>
      </c>
      <c r="F69" s="6" t="n">
        <v>63</v>
      </c>
      <c r="G69" s="6" t="inlineStr">
        <is>
          <t>Adulto mayor</t>
        </is>
      </c>
      <c r="H69" s="6" t="n">
        <v>35</v>
      </c>
      <c r="I69" s="6" t="n">
        <v>3430</v>
      </c>
      <c r="J69" s="5" t="inlineStr">
        <is>
          <t>Carlos Ramírez</t>
        </is>
      </c>
    </row>
    <row r="70">
      <c r="A70" s="13" t="n">
        <v>67</v>
      </c>
      <c r="B70" s="6" t="n">
        <v>23</v>
      </c>
      <c r="C70" s="5" t="inlineStr">
        <is>
          <t>Miguel Reyes Moreno</t>
        </is>
      </c>
      <c r="D70" s="7" t="inlineStr">
        <is>
          <t>T3 · AMARILLO</t>
        </is>
      </c>
      <c r="E70" s="5" t="inlineStr">
        <is>
          <t>DOLOR ABDOMINAL AGUDO</t>
        </is>
      </c>
      <c r="F70" s="6" t="n">
        <v>62</v>
      </c>
      <c r="G70" s="6" t="inlineStr">
        <is>
          <t>Adulto mayor</t>
        </is>
      </c>
      <c r="H70" s="6" t="n">
        <v>30</v>
      </c>
      <c r="I70" s="6" t="n">
        <v>3465</v>
      </c>
      <c r="J70" s="5" t="inlineStr">
        <is>
          <t>Andrés Martínez</t>
        </is>
      </c>
    </row>
    <row r="71">
      <c r="A71" s="14" t="n">
        <v>68</v>
      </c>
      <c r="B71" s="6" t="n">
        <v>128</v>
      </c>
      <c r="C71" s="5" t="inlineStr">
        <is>
          <t>Claudia Bernal Gómez</t>
        </is>
      </c>
      <c r="D71" s="7" t="inlineStr">
        <is>
          <t>T3 · AMARILLO</t>
        </is>
      </c>
      <c r="E71" s="5" t="inlineStr">
        <is>
          <t>DOLOR ABDOMINAL AGUDO</t>
        </is>
      </c>
      <c r="F71" s="6" t="n">
        <v>64</v>
      </c>
      <c r="G71" s="6" t="inlineStr">
        <is>
          <t>Adulto mayor</t>
        </is>
      </c>
      <c r="H71" s="6" t="n">
        <v>30</v>
      </c>
      <c r="I71" s="6" t="n">
        <v>3495</v>
      </c>
      <c r="J71" s="5" t="inlineStr">
        <is>
          <t>Laura Gómez</t>
        </is>
      </c>
    </row>
    <row r="72">
      <c r="A72" s="13" t="n">
        <v>69</v>
      </c>
      <c r="B72" s="6" t="n">
        <v>47</v>
      </c>
      <c r="C72" s="5" t="inlineStr">
        <is>
          <t>Miguel Medina Alvarado</t>
        </is>
      </c>
      <c r="D72" s="7" t="inlineStr">
        <is>
          <t>T3 · AMARILLO</t>
        </is>
      </c>
      <c r="E72" s="5" t="inlineStr">
        <is>
          <t>FRACTURA CON COMPROMISO VASCULAR</t>
        </is>
      </c>
      <c r="F72" s="6" t="n">
        <v>61</v>
      </c>
      <c r="G72" s="6" t="inlineStr">
        <is>
          <t>Adulto mayor</t>
        </is>
      </c>
      <c r="H72" s="6" t="n">
        <v>35</v>
      </c>
      <c r="I72" s="6" t="n">
        <v>3525</v>
      </c>
      <c r="J72" s="5" t="inlineStr">
        <is>
          <t>Sofía Torres</t>
        </is>
      </c>
    </row>
    <row r="73">
      <c r="A73" s="14" t="n">
        <v>70</v>
      </c>
      <c r="B73" s="6" t="n">
        <v>122</v>
      </c>
      <c r="C73" s="5" t="inlineStr">
        <is>
          <t>Fernanda Reyes Jiménez</t>
        </is>
      </c>
      <c r="D73" s="7" t="inlineStr">
        <is>
          <t>T3 · AMARILLO</t>
        </is>
      </c>
      <c r="E73" s="5" t="inlineStr">
        <is>
          <t>DOLOR ABDOMINAL AGUDO</t>
        </is>
      </c>
      <c r="F73" s="6" t="n">
        <v>65</v>
      </c>
      <c r="G73" s="6" t="inlineStr">
        <is>
          <t>Adulto mayor</t>
        </is>
      </c>
      <c r="H73" s="6" t="n">
        <v>30</v>
      </c>
      <c r="I73" s="6" t="n">
        <v>3560</v>
      </c>
      <c r="J73" s="5" t="inlineStr">
        <is>
          <t>Sofía Torres</t>
        </is>
      </c>
    </row>
    <row r="74">
      <c r="A74" s="13" t="n">
        <v>71</v>
      </c>
      <c r="B74" s="6" t="n">
        <v>59</v>
      </c>
      <c r="C74" s="5" t="inlineStr">
        <is>
          <t>María Torres Rodríguez</t>
        </is>
      </c>
      <c r="D74" s="7" t="inlineStr">
        <is>
          <t>T3 · AMARILLO</t>
        </is>
      </c>
      <c r="E74" s="5" t="inlineStr">
        <is>
          <t>DOLOR ABDOMINAL AGUDO</t>
        </is>
      </c>
      <c r="F74" s="6" t="n">
        <v>53</v>
      </c>
      <c r="G74" s="6" t="inlineStr">
        <is>
          <t>Adulto</t>
        </is>
      </c>
      <c r="H74" s="6" t="n">
        <v>30</v>
      </c>
      <c r="I74" s="6" t="n">
        <v>3590</v>
      </c>
      <c r="J74" s="5" t="inlineStr">
        <is>
          <t>Sofía Torres</t>
        </is>
      </c>
    </row>
    <row r="75">
      <c r="A75" s="14" t="n">
        <v>72</v>
      </c>
      <c r="B75" s="6" t="n">
        <v>73</v>
      </c>
      <c r="C75" s="5" t="inlineStr">
        <is>
          <t>Alejandro Martínez Ramírez</t>
        </is>
      </c>
      <c r="D75" s="7" t="inlineStr">
        <is>
          <t>T3 · AMARILLO</t>
        </is>
      </c>
      <c r="E75" s="5" t="inlineStr">
        <is>
          <t>DOLOR ABDOMINAL AGUDO</t>
        </is>
      </c>
      <c r="F75" s="6" t="n">
        <v>38</v>
      </c>
      <c r="G75" s="6" t="inlineStr">
        <is>
          <t>Adulto</t>
        </is>
      </c>
      <c r="H75" s="6" t="n">
        <v>30</v>
      </c>
      <c r="I75" s="6" t="n">
        <v>3620</v>
      </c>
      <c r="J75" s="5" t="inlineStr">
        <is>
          <t>Felipe Herrera</t>
        </is>
      </c>
    </row>
    <row r="76">
      <c r="A76" s="13" t="n">
        <v>73</v>
      </c>
      <c r="B76" s="6" t="n">
        <v>28</v>
      </c>
      <c r="C76" s="5" t="inlineStr">
        <is>
          <t>Alejandro Sánchez García</t>
        </is>
      </c>
      <c r="D76" s="7" t="inlineStr">
        <is>
          <t>T3 · AMARILLO</t>
        </is>
      </c>
      <c r="E76" s="5" t="inlineStr">
        <is>
          <t>FRACTURA CON COMPROMISO VASCULAR</t>
        </is>
      </c>
      <c r="F76" s="6" t="n">
        <v>52</v>
      </c>
      <c r="G76" s="6" t="inlineStr">
        <is>
          <t>Adulto</t>
        </is>
      </c>
      <c r="H76" s="6" t="n">
        <v>35</v>
      </c>
      <c r="I76" s="6" t="n">
        <v>3650</v>
      </c>
      <c r="J76" s="5" t="inlineStr">
        <is>
          <t>Laura Gómez</t>
        </is>
      </c>
    </row>
    <row r="77">
      <c r="A77" s="14" t="n">
        <v>74</v>
      </c>
      <c r="B77" s="6" t="n">
        <v>56</v>
      </c>
      <c r="C77" s="5" t="inlineStr">
        <is>
          <t>Daniel Reyes Moreno</t>
        </is>
      </c>
      <c r="D77" s="7" t="inlineStr">
        <is>
          <t>T3 · AMARILLO</t>
        </is>
      </c>
      <c r="E77" s="5" t="inlineStr">
        <is>
          <t>DOLOR ABDOMINAL AGUDO</t>
        </is>
      </c>
      <c r="F77" s="6" t="n">
        <v>42</v>
      </c>
      <c r="G77" s="6" t="inlineStr">
        <is>
          <t>Adulto</t>
        </is>
      </c>
      <c r="H77" s="6" t="n">
        <v>30</v>
      </c>
      <c r="I77" s="6" t="n">
        <v>3685</v>
      </c>
      <c r="J77" s="5" t="inlineStr">
        <is>
          <t>Felipe Herrera</t>
        </is>
      </c>
    </row>
    <row r="78">
      <c r="A78" s="13" t="n">
        <v>75</v>
      </c>
      <c r="B78" s="6" t="n">
        <v>20</v>
      </c>
      <c r="C78" s="5" t="inlineStr">
        <is>
          <t>Alejandra Castro Medina</t>
        </is>
      </c>
      <c r="D78" s="7" t="inlineStr">
        <is>
          <t>T3 · AMARILLO</t>
        </is>
      </c>
      <c r="E78" s="5" t="inlineStr">
        <is>
          <t>DOLOR ABDOMINAL AGUDO</t>
        </is>
      </c>
      <c r="F78" s="6" t="n">
        <v>51</v>
      </c>
      <c r="G78" s="6" t="inlineStr">
        <is>
          <t>Adulto</t>
        </is>
      </c>
      <c r="H78" s="6" t="n">
        <v>30</v>
      </c>
      <c r="I78" s="6" t="n">
        <v>3715</v>
      </c>
      <c r="J78" s="5" t="inlineStr">
        <is>
          <t>Felipe Herrera</t>
        </is>
      </c>
    </row>
    <row r="79">
      <c r="A79" s="14" t="n">
        <v>76</v>
      </c>
      <c r="B79" s="6" t="n">
        <v>26</v>
      </c>
      <c r="C79" s="5" t="inlineStr">
        <is>
          <t>Alejandro Martínez Bernal</t>
        </is>
      </c>
      <c r="D79" s="7" t="inlineStr">
        <is>
          <t>T3 · AMARILLO</t>
        </is>
      </c>
      <c r="E79" s="5" t="inlineStr">
        <is>
          <t>DOLOR ABDOMINAL AGUDO</t>
        </is>
      </c>
      <c r="F79" s="6" t="n">
        <v>48</v>
      </c>
      <c r="G79" s="6" t="inlineStr">
        <is>
          <t>Adulto</t>
        </is>
      </c>
      <c r="H79" s="6" t="n">
        <v>30</v>
      </c>
      <c r="I79" s="6" t="n">
        <v>3745</v>
      </c>
      <c r="J79" s="5" t="inlineStr">
        <is>
          <t>Laura Gómez</t>
        </is>
      </c>
    </row>
    <row r="80">
      <c r="A80" s="13" t="n">
        <v>77</v>
      </c>
      <c r="B80" s="6" t="n">
        <v>61</v>
      </c>
      <c r="C80" s="5" t="inlineStr">
        <is>
          <t>Carlos García Ospina</t>
        </is>
      </c>
      <c r="D80" s="7" t="inlineStr">
        <is>
          <t>T3 · AMARILLO</t>
        </is>
      </c>
      <c r="E80" s="5" t="inlineStr">
        <is>
          <t>DOLOR ABDOMINAL AGUDO</t>
        </is>
      </c>
      <c r="F80" s="6" t="n">
        <v>29</v>
      </c>
      <c r="G80" s="6" t="inlineStr">
        <is>
          <t>Adulto</t>
        </is>
      </c>
      <c r="H80" s="6" t="n">
        <v>30</v>
      </c>
      <c r="I80" s="6" t="n">
        <v>3775</v>
      </c>
      <c r="J80" s="5" t="inlineStr">
        <is>
          <t>Felipe Herrera</t>
        </is>
      </c>
    </row>
    <row r="81">
      <c r="A81" s="14" t="n">
        <v>78</v>
      </c>
      <c r="B81" s="6" t="n">
        <v>46</v>
      </c>
      <c r="C81" s="5" t="inlineStr">
        <is>
          <t>Ana Cárdenas Alvarado</t>
        </is>
      </c>
      <c r="D81" s="7" t="inlineStr">
        <is>
          <t>T3 · AMARILLO</t>
        </is>
      </c>
      <c r="E81" s="5" t="inlineStr">
        <is>
          <t>FRACTURA CON COMPROMISO VASCULAR</t>
        </is>
      </c>
      <c r="F81" s="6" t="n">
        <v>58</v>
      </c>
      <c r="G81" s="6" t="inlineStr">
        <is>
          <t>Adulto</t>
        </is>
      </c>
      <c r="H81" s="6" t="n">
        <v>35</v>
      </c>
      <c r="I81" s="6" t="n">
        <v>3805</v>
      </c>
      <c r="J81" s="5" t="inlineStr">
        <is>
          <t>Andrés Martínez</t>
        </is>
      </c>
    </row>
    <row r="82">
      <c r="A82" s="13" t="n">
        <v>79</v>
      </c>
      <c r="B82" s="6" t="n">
        <v>140</v>
      </c>
      <c r="C82" s="5" t="inlineStr">
        <is>
          <t>Camilo Torres Herrera</t>
        </is>
      </c>
      <c r="D82" s="7" t="inlineStr">
        <is>
          <t>T3 · AMARILLO</t>
        </is>
      </c>
      <c r="E82" s="5" t="inlineStr">
        <is>
          <t>FRACTURA CON COMPROMISO VASCULAR</t>
        </is>
      </c>
      <c r="F82" s="6" t="n">
        <v>43</v>
      </c>
      <c r="G82" s="6" t="inlineStr">
        <is>
          <t>Adulto</t>
        </is>
      </c>
      <c r="H82" s="6" t="n">
        <v>35</v>
      </c>
      <c r="I82" s="6" t="n">
        <v>3840</v>
      </c>
      <c r="J82" s="5" t="inlineStr">
        <is>
          <t>Carlos Ramírez</t>
        </is>
      </c>
    </row>
    <row r="83">
      <c r="A83" s="14" t="n">
        <v>80</v>
      </c>
      <c r="B83" s="6" t="n">
        <v>101</v>
      </c>
      <c r="C83" s="5" t="inlineStr">
        <is>
          <t>Ana Morales Cárdenas</t>
        </is>
      </c>
      <c r="D83" s="7" t="inlineStr">
        <is>
          <t>T3 · AMARILLO</t>
        </is>
      </c>
      <c r="E83" s="5" t="inlineStr">
        <is>
          <t>DOLOR ABDOMINAL AGUDO</t>
        </is>
      </c>
      <c r="F83" s="6" t="n">
        <v>58</v>
      </c>
      <c r="G83" s="6" t="inlineStr">
        <is>
          <t>Adulto</t>
        </is>
      </c>
      <c r="H83" s="6" t="n">
        <v>30</v>
      </c>
      <c r="I83" s="6" t="n">
        <v>3875</v>
      </c>
      <c r="J83" s="5" t="inlineStr">
        <is>
          <t>Felipe Herrera</t>
        </is>
      </c>
    </row>
    <row r="84">
      <c r="A84" s="13" t="n">
        <v>81</v>
      </c>
      <c r="B84" s="6" t="n">
        <v>84</v>
      </c>
      <c r="C84" s="5" t="inlineStr">
        <is>
          <t>Camila Ramírez Medina</t>
        </is>
      </c>
      <c r="D84" s="7" t="inlineStr">
        <is>
          <t>T3 · AMARILLO</t>
        </is>
      </c>
      <c r="E84" s="5" t="inlineStr">
        <is>
          <t>DOLOR ABDOMINAL AGUDO</t>
        </is>
      </c>
      <c r="F84" s="6" t="n">
        <v>58</v>
      </c>
      <c r="G84" s="6" t="inlineStr">
        <is>
          <t>Adulto</t>
        </is>
      </c>
      <c r="H84" s="6" t="n">
        <v>30</v>
      </c>
      <c r="I84" s="6" t="n">
        <v>3905</v>
      </c>
      <c r="J84" s="5" t="inlineStr">
        <is>
          <t>Andrés Martínez</t>
        </is>
      </c>
    </row>
    <row r="85">
      <c r="A85" s="14" t="n">
        <v>82</v>
      </c>
      <c r="B85" s="6" t="n">
        <v>71</v>
      </c>
      <c r="C85" s="5" t="inlineStr">
        <is>
          <t>Jorge Vargas Ramírez</t>
        </is>
      </c>
      <c r="D85" s="7" t="inlineStr">
        <is>
          <t>T3 · AMARILLO</t>
        </is>
      </c>
      <c r="E85" s="5" t="inlineStr">
        <is>
          <t>DOLOR ABDOMINAL AGUDO</t>
        </is>
      </c>
      <c r="F85" s="6" t="n">
        <v>48</v>
      </c>
      <c r="G85" s="6" t="inlineStr">
        <is>
          <t>Adulto</t>
        </is>
      </c>
      <c r="H85" s="6" t="n">
        <v>30</v>
      </c>
      <c r="I85" s="6" t="n">
        <v>3935</v>
      </c>
      <c r="J85" s="5" t="inlineStr">
        <is>
          <t>Carlos Ramírez</t>
        </is>
      </c>
    </row>
    <row r="86">
      <c r="A86" s="13" t="n">
        <v>83</v>
      </c>
      <c r="B86" s="6" t="n">
        <v>143</v>
      </c>
      <c r="C86" s="5" t="inlineStr">
        <is>
          <t>Alejandro Gómez Cárdenas</t>
        </is>
      </c>
      <c r="D86" s="7" t="inlineStr">
        <is>
          <t>T3 · AMARILLO</t>
        </is>
      </c>
      <c r="E86" s="5" t="inlineStr">
        <is>
          <t>DOLOR ABDOMINAL AGUDO</t>
        </is>
      </c>
      <c r="F86" s="6" t="n">
        <v>45</v>
      </c>
      <c r="G86" s="6" t="inlineStr">
        <is>
          <t>Adulto</t>
        </is>
      </c>
      <c r="H86" s="6" t="n">
        <v>30</v>
      </c>
      <c r="I86" s="6" t="n">
        <v>3965</v>
      </c>
      <c r="J86" s="5" t="inlineStr">
        <is>
          <t>Laura Gómez</t>
        </is>
      </c>
    </row>
    <row r="87">
      <c r="A87" s="14" t="n">
        <v>84</v>
      </c>
      <c r="B87" s="6" t="n">
        <v>51</v>
      </c>
      <c r="C87" s="5" t="inlineStr">
        <is>
          <t>María Herrera Alvarado</t>
        </is>
      </c>
      <c r="D87" s="7" t="inlineStr">
        <is>
          <t>T3 · AMARILLO</t>
        </is>
      </c>
      <c r="E87" s="5" t="inlineStr">
        <is>
          <t>FRACTURA CON COMPROMISO VASCULAR</t>
        </is>
      </c>
      <c r="F87" s="6" t="n">
        <v>25</v>
      </c>
      <c r="G87" s="6" t="inlineStr">
        <is>
          <t>Adulto</t>
        </is>
      </c>
      <c r="H87" s="6" t="n">
        <v>35</v>
      </c>
      <c r="I87" s="6" t="n">
        <v>3995</v>
      </c>
      <c r="J87" s="5" t="inlineStr">
        <is>
          <t>Laura Gómez</t>
        </is>
      </c>
    </row>
    <row r="88">
      <c r="A88" s="13" t="n">
        <v>85</v>
      </c>
      <c r="B88" s="6" t="n">
        <v>96</v>
      </c>
      <c r="C88" s="5" t="inlineStr">
        <is>
          <t>Camila Alvarado Díaz</t>
        </is>
      </c>
      <c r="D88" s="7" t="inlineStr">
        <is>
          <t>T3 · AMARILLO</t>
        </is>
      </c>
      <c r="E88" s="5" t="inlineStr">
        <is>
          <t>DOLOR ABDOMINAL AGUDO</t>
        </is>
      </c>
      <c r="F88" s="6" t="n">
        <v>25</v>
      </c>
      <c r="G88" s="6" t="inlineStr">
        <is>
          <t>Adulto</t>
        </is>
      </c>
      <c r="H88" s="6" t="n">
        <v>30</v>
      </c>
      <c r="I88" s="6" t="n">
        <v>4030</v>
      </c>
      <c r="J88" s="5" t="inlineStr">
        <is>
          <t>Laura Gómez</t>
        </is>
      </c>
    </row>
    <row r="89">
      <c r="A89" s="14" t="n">
        <v>86</v>
      </c>
      <c r="B89" s="6" t="n">
        <v>135</v>
      </c>
      <c r="C89" s="5" t="inlineStr">
        <is>
          <t>Camilo Herrera Castro</t>
        </is>
      </c>
      <c r="D89" s="10" t="inlineStr">
        <is>
          <t>T4 · VERDE</t>
        </is>
      </c>
      <c r="E89" s="5" t="inlineStr">
        <is>
          <t>FIEBRE ALTA CON CONVULSIÓN</t>
        </is>
      </c>
      <c r="F89" s="6" t="n">
        <v>87</v>
      </c>
      <c r="G89" s="6" t="inlineStr">
        <is>
          <t>Anciano</t>
        </is>
      </c>
      <c r="H89" s="6" t="n">
        <v>25</v>
      </c>
      <c r="I89" s="6" t="n">
        <v>4060</v>
      </c>
      <c r="J89" s="5" t="inlineStr">
        <is>
          <t>Andrés Martínez</t>
        </is>
      </c>
    </row>
    <row r="90">
      <c r="A90" s="13" t="n">
        <v>87</v>
      </c>
      <c r="B90" s="6" t="n">
        <v>12</v>
      </c>
      <c r="C90" s="5" t="inlineStr">
        <is>
          <t>Daniel Gómez López</t>
        </is>
      </c>
      <c r="D90" s="10" t="inlineStr">
        <is>
          <t>T4 · VERDE</t>
        </is>
      </c>
      <c r="E90" s="5" t="inlineStr">
        <is>
          <t>HERIDA CON SANGRADO MODERADO</t>
        </is>
      </c>
      <c r="F90" s="6" t="n">
        <v>83</v>
      </c>
      <c r="G90" s="6" t="inlineStr">
        <is>
          <t>Anciano</t>
        </is>
      </c>
      <c r="H90" s="6" t="n">
        <v>20</v>
      </c>
      <c r="I90" s="6" t="n">
        <v>4085</v>
      </c>
      <c r="J90" s="5" t="inlineStr">
        <is>
          <t>Laura Gómez</t>
        </is>
      </c>
    </row>
    <row r="91">
      <c r="A91" s="14" t="n">
        <v>88</v>
      </c>
      <c r="B91" s="6" t="n">
        <v>129</v>
      </c>
      <c r="C91" s="5" t="inlineStr">
        <is>
          <t>Daniel Ríos Sánchez</t>
        </is>
      </c>
      <c r="D91" s="10" t="inlineStr">
        <is>
          <t>T4 · VERDE</t>
        </is>
      </c>
      <c r="E91" s="5" t="inlineStr">
        <is>
          <t>FIEBRE ALTA CON CONVULSIÓN</t>
        </is>
      </c>
      <c r="F91" s="6" t="n">
        <v>85</v>
      </c>
      <c r="G91" s="6" t="inlineStr">
        <is>
          <t>Anciano</t>
        </is>
      </c>
      <c r="H91" s="6" t="n">
        <v>25</v>
      </c>
      <c r="I91" s="6" t="n">
        <v>4105</v>
      </c>
      <c r="J91" s="5" t="inlineStr">
        <is>
          <t>Felipe Herrera</t>
        </is>
      </c>
    </row>
    <row r="92">
      <c r="A92" s="13" t="n">
        <v>89</v>
      </c>
      <c r="B92" s="6" t="n">
        <v>24</v>
      </c>
      <c r="C92" s="5" t="inlineStr">
        <is>
          <t>Felipe Díaz Gómez</t>
        </is>
      </c>
      <c r="D92" s="10" t="inlineStr">
        <is>
          <t>T4 · VERDE</t>
        </is>
      </c>
      <c r="E92" s="5" t="inlineStr">
        <is>
          <t>HERIDA CON SANGRADO MODERADO</t>
        </is>
      </c>
      <c r="F92" s="6" t="n">
        <v>0</v>
      </c>
      <c r="G92" s="6" t="inlineStr">
        <is>
          <t>Neonato</t>
        </is>
      </c>
      <c r="H92" s="6" t="n">
        <v>20</v>
      </c>
      <c r="I92" s="6" t="n">
        <v>4130</v>
      </c>
      <c r="J92" s="5" t="inlineStr">
        <is>
          <t>Laura Gómez</t>
        </is>
      </c>
    </row>
    <row r="93">
      <c r="A93" s="14" t="n">
        <v>90</v>
      </c>
      <c r="B93" s="6" t="n">
        <v>2</v>
      </c>
      <c r="C93" s="5" t="inlineStr">
        <is>
          <t>Sebastián Morales Ríos</t>
        </is>
      </c>
      <c r="D93" s="10" t="inlineStr">
        <is>
          <t>T4 · VERDE</t>
        </is>
      </c>
      <c r="E93" s="5" t="inlineStr">
        <is>
          <t>HERIDA CON SANGRADO MODERADO</t>
        </is>
      </c>
      <c r="F93" s="6" t="n">
        <v>83</v>
      </c>
      <c r="G93" s="6" t="inlineStr">
        <is>
          <t>Anciano</t>
        </is>
      </c>
      <c r="H93" s="6" t="n">
        <v>20</v>
      </c>
      <c r="I93" s="6" t="n">
        <v>4150</v>
      </c>
      <c r="J93" s="5" t="inlineStr">
        <is>
          <t>Sofía Torres</t>
        </is>
      </c>
    </row>
    <row r="94">
      <c r="A94" s="13" t="n">
        <v>91</v>
      </c>
      <c r="B94" s="6" t="n">
        <v>130</v>
      </c>
      <c r="C94" s="5" t="inlineStr">
        <is>
          <t>Camilo Reyes Ríos</t>
        </is>
      </c>
      <c r="D94" s="10" t="inlineStr">
        <is>
          <t>T4 · VERDE</t>
        </is>
      </c>
      <c r="E94" s="5" t="inlineStr">
        <is>
          <t>HERIDA CON SANGRADO MODERADO</t>
        </is>
      </c>
      <c r="F94" s="6" t="n">
        <v>80</v>
      </c>
      <c r="G94" s="6" t="inlineStr">
        <is>
          <t>Anciano</t>
        </is>
      </c>
      <c r="H94" s="6" t="n">
        <v>20</v>
      </c>
      <c r="I94" s="6" t="n">
        <v>4170</v>
      </c>
      <c r="J94" s="5" t="inlineStr">
        <is>
          <t>Laura Gómez</t>
        </is>
      </c>
    </row>
    <row r="95">
      <c r="A95" s="14" t="n">
        <v>92</v>
      </c>
      <c r="B95" s="6" t="n">
        <v>55</v>
      </c>
      <c r="C95" s="5" t="inlineStr">
        <is>
          <t>Carlos Torres Sánchez</t>
        </is>
      </c>
      <c r="D95" s="10" t="inlineStr">
        <is>
          <t>T4 · VERDE</t>
        </is>
      </c>
      <c r="E95" s="5" t="inlineStr">
        <is>
          <t>HERIDA CON SANGRADO MODERADO</t>
        </is>
      </c>
      <c r="F95" s="6" t="n">
        <v>85</v>
      </c>
      <c r="G95" s="6" t="inlineStr">
        <is>
          <t>Anciano</t>
        </is>
      </c>
      <c r="H95" s="6" t="n">
        <v>20</v>
      </c>
      <c r="I95" s="6" t="n">
        <v>4190</v>
      </c>
      <c r="J95" s="5" t="inlineStr">
        <is>
          <t>Felipe Herrera</t>
        </is>
      </c>
    </row>
    <row r="96">
      <c r="A96" s="13" t="n">
        <v>93</v>
      </c>
      <c r="B96" s="6" t="n">
        <v>78</v>
      </c>
      <c r="C96" s="5" t="inlineStr">
        <is>
          <t>Felipe Díaz Ríos</t>
        </is>
      </c>
      <c r="D96" s="10" t="inlineStr">
        <is>
          <t>T4 · VERDE</t>
        </is>
      </c>
      <c r="E96" s="5" t="inlineStr">
        <is>
          <t>FIEBRE ALTA CON CONVULSIÓN</t>
        </is>
      </c>
      <c r="F96" s="6" t="n">
        <v>90</v>
      </c>
      <c r="G96" s="6" t="inlineStr">
        <is>
          <t>Anciano</t>
        </is>
      </c>
      <c r="H96" s="6" t="n">
        <v>25</v>
      </c>
      <c r="I96" s="6" t="n">
        <v>4210</v>
      </c>
      <c r="J96" s="5" t="inlineStr">
        <is>
          <t>Sofía Torres</t>
        </is>
      </c>
    </row>
    <row r="97">
      <c r="A97" s="14" t="n">
        <v>94</v>
      </c>
      <c r="B97" s="6" t="n">
        <v>149</v>
      </c>
      <c r="C97" s="5" t="inlineStr">
        <is>
          <t>Juan Medina Moreno</t>
        </is>
      </c>
      <c r="D97" s="10" t="inlineStr">
        <is>
          <t>T4 · VERDE</t>
        </is>
      </c>
      <c r="E97" s="5" t="inlineStr">
        <is>
          <t>FIEBRE ALTA CON CONVULSIÓN</t>
        </is>
      </c>
      <c r="F97" s="6" t="n">
        <v>81</v>
      </c>
      <c r="G97" s="6" t="inlineStr">
        <is>
          <t>Anciano</t>
        </is>
      </c>
      <c r="H97" s="6" t="n">
        <v>25</v>
      </c>
      <c r="I97" s="6" t="n">
        <v>4235</v>
      </c>
      <c r="J97" s="5" t="inlineStr">
        <is>
          <t>Carlos Ramírez</t>
        </is>
      </c>
    </row>
    <row r="98">
      <c r="A98" s="13" t="n">
        <v>95</v>
      </c>
      <c r="B98" s="6" t="n">
        <v>36</v>
      </c>
      <c r="C98" s="5" t="inlineStr">
        <is>
          <t>Nicolás Vargas García</t>
        </is>
      </c>
      <c r="D98" s="10" t="inlineStr">
        <is>
          <t>T4 · VERDE</t>
        </is>
      </c>
      <c r="E98" s="5" t="inlineStr">
        <is>
          <t>HERIDA CON SANGRADO MODERADO</t>
        </is>
      </c>
      <c r="F98" s="6" t="n">
        <v>86</v>
      </c>
      <c r="G98" s="6" t="inlineStr">
        <is>
          <t>Anciano</t>
        </is>
      </c>
      <c r="H98" s="6" t="n">
        <v>20</v>
      </c>
      <c r="I98" s="6" t="n">
        <v>4260</v>
      </c>
      <c r="J98" s="5" t="inlineStr">
        <is>
          <t>Carlos Ramírez</t>
        </is>
      </c>
    </row>
    <row r="99">
      <c r="A99" s="14" t="n">
        <v>96</v>
      </c>
      <c r="B99" s="6" t="n">
        <v>109</v>
      </c>
      <c r="C99" s="5" t="inlineStr">
        <is>
          <t>Alejandra Ospina Jiménez</t>
        </is>
      </c>
      <c r="D99" s="10" t="inlineStr">
        <is>
          <t>T4 · VERDE</t>
        </is>
      </c>
      <c r="E99" s="5" t="inlineStr">
        <is>
          <t>FIEBRE ALTA CON CONVULSIÓN</t>
        </is>
      </c>
      <c r="F99" s="6" t="n">
        <v>88</v>
      </c>
      <c r="G99" s="6" t="inlineStr">
        <is>
          <t>Anciano</t>
        </is>
      </c>
      <c r="H99" s="6" t="n">
        <v>25</v>
      </c>
      <c r="I99" s="6" t="n">
        <v>4280</v>
      </c>
      <c r="J99" s="5" t="inlineStr">
        <is>
          <t>Laura Gómez</t>
        </is>
      </c>
    </row>
    <row r="100">
      <c r="A100" s="13" t="n">
        <v>97</v>
      </c>
      <c r="B100" s="6" t="n">
        <v>114</v>
      </c>
      <c r="C100" s="5" t="inlineStr">
        <is>
          <t>Daniel Sánchez Ríos</t>
        </is>
      </c>
      <c r="D100" s="10" t="inlineStr">
        <is>
          <t>T4 · VERDE</t>
        </is>
      </c>
      <c r="E100" s="5" t="inlineStr">
        <is>
          <t>HERIDA CON SANGRADO MODERADO</t>
        </is>
      </c>
      <c r="F100" s="6" t="n">
        <v>4</v>
      </c>
      <c r="G100" s="6" t="inlineStr">
        <is>
          <t>Infante</t>
        </is>
      </c>
      <c r="H100" s="6" t="n">
        <v>20</v>
      </c>
      <c r="I100" s="6" t="n">
        <v>4305</v>
      </c>
      <c r="J100" s="5" t="inlineStr">
        <is>
          <t>Andrés Martínez</t>
        </is>
      </c>
    </row>
    <row r="101">
      <c r="A101" s="14" t="n">
        <v>98</v>
      </c>
      <c r="B101" s="6" t="n">
        <v>83</v>
      </c>
      <c r="C101" s="5" t="inlineStr">
        <is>
          <t>Juan Medina Torres</t>
        </is>
      </c>
      <c r="D101" s="10" t="inlineStr">
        <is>
          <t>T4 · VERDE</t>
        </is>
      </c>
      <c r="E101" s="5" t="inlineStr">
        <is>
          <t>HERIDA CON SANGRADO MODERADO</t>
        </is>
      </c>
      <c r="F101" s="6" t="n">
        <v>3</v>
      </c>
      <c r="G101" s="6" t="inlineStr">
        <is>
          <t>Infante</t>
        </is>
      </c>
      <c r="H101" s="6" t="n">
        <v>20</v>
      </c>
      <c r="I101" s="6" t="n">
        <v>4325</v>
      </c>
      <c r="J101" s="5" t="inlineStr">
        <is>
          <t>Carlos Ramírez</t>
        </is>
      </c>
    </row>
    <row r="102">
      <c r="A102" s="13" t="n">
        <v>99</v>
      </c>
      <c r="B102" s="6" t="n">
        <v>127</v>
      </c>
      <c r="C102" s="5" t="inlineStr">
        <is>
          <t>Sofía Bernal Morales</t>
        </is>
      </c>
      <c r="D102" s="10" t="inlineStr">
        <is>
          <t>T4 · VERDE</t>
        </is>
      </c>
      <c r="E102" s="5" t="inlineStr">
        <is>
          <t>HERIDA CON SANGRADO MODERADO</t>
        </is>
      </c>
      <c r="F102" s="6" t="n">
        <v>72</v>
      </c>
      <c r="G102" s="6" t="inlineStr">
        <is>
          <t>Adulto mayor</t>
        </is>
      </c>
      <c r="H102" s="6" t="n">
        <v>20</v>
      </c>
      <c r="I102" s="6" t="n">
        <v>4345</v>
      </c>
      <c r="J102" s="5" t="inlineStr">
        <is>
          <t>Carlos Ramírez</t>
        </is>
      </c>
    </row>
    <row r="103">
      <c r="A103" s="14" t="n">
        <v>100</v>
      </c>
      <c r="B103" s="6" t="n">
        <v>131</v>
      </c>
      <c r="C103" s="5" t="inlineStr">
        <is>
          <t>Nicolás Díaz Moreno</t>
        </is>
      </c>
      <c r="D103" s="10" t="inlineStr">
        <is>
          <t>T4 · VERDE</t>
        </is>
      </c>
      <c r="E103" s="5" t="inlineStr">
        <is>
          <t>FIEBRE ALTA CON CONVULSIÓN</t>
        </is>
      </c>
      <c r="F103" s="6" t="n">
        <v>70</v>
      </c>
      <c r="G103" s="6" t="inlineStr">
        <is>
          <t>Adulto mayor</t>
        </is>
      </c>
      <c r="H103" s="6" t="n">
        <v>25</v>
      </c>
      <c r="I103" s="6" t="n">
        <v>4365</v>
      </c>
      <c r="J103" s="5" t="inlineStr">
        <is>
          <t>Carlos Ramírez</t>
        </is>
      </c>
    </row>
    <row r="104">
      <c r="A104" s="13" t="n">
        <v>101</v>
      </c>
      <c r="B104" s="6" t="n">
        <v>62</v>
      </c>
      <c r="C104" s="5" t="inlineStr">
        <is>
          <t>Ana Muñoz Gómez</t>
        </is>
      </c>
      <c r="D104" s="10" t="inlineStr">
        <is>
          <t>T4 · VERDE</t>
        </is>
      </c>
      <c r="E104" s="5" t="inlineStr">
        <is>
          <t>FIEBRE ALTA CON CONVULSIÓN</t>
        </is>
      </c>
      <c r="F104" s="6" t="n">
        <v>63</v>
      </c>
      <c r="G104" s="6" t="inlineStr">
        <is>
          <t>Adulto mayor</t>
        </is>
      </c>
      <c r="H104" s="6" t="n">
        <v>25</v>
      </c>
      <c r="I104" s="6" t="n">
        <v>4390</v>
      </c>
      <c r="J104" s="5" t="inlineStr">
        <is>
          <t>Andrés Martínez</t>
        </is>
      </c>
    </row>
    <row r="105">
      <c r="A105" s="14" t="n">
        <v>102</v>
      </c>
      <c r="B105" s="6" t="n">
        <v>137</v>
      </c>
      <c r="C105" s="5" t="inlineStr">
        <is>
          <t>María Alvarado Moreno</t>
        </is>
      </c>
      <c r="D105" s="10" t="inlineStr">
        <is>
          <t>T4 · VERDE</t>
        </is>
      </c>
      <c r="E105" s="5" t="inlineStr">
        <is>
          <t>HERIDA CON SANGRADO MODERADO</t>
        </is>
      </c>
      <c r="F105" s="6" t="n">
        <v>66</v>
      </c>
      <c r="G105" s="6" t="inlineStr">
        <is>
          <t>Adulto mayor</t>
        </is>
      </c>
      <c r="H105" s="6" t="n">
        <v>20</v>
      </c>
      <c r="I105" s="6" t="n">
        <v>4415</v>
      </c>
      <c r="J105" s="5" t="inlineStr">
        <is>
          <t>Carlos Ramírez</t>
        </is>
      </c>
    </row>
    <row r="106">
      <c r="A106" s="13" t="n">
        <v>103</v>
      </c>
      <c r="B106" s="6" t="n">
        <v>63</v>
      </c>
      <c r="C106" s="5" t="inlineStr">
        <is>
          <t>David Torres López</t>
        </is>
      </c>
      <c r="D106" s="10" t="inlineStr">
        <is>
          <t>T4 · VERDE</t>
        </is>
      </c>
      <c r="E106" s="5" t="inlineStr">
        <is>
          <t>FIEBRE ALTA CON CONVULSIÓN</t>
        </is>
      </c>
      <c r="F106" s="6" t="n">
        <v>64</v>
      </c>
      <c r="G106" s="6" t="inlineStr">
        <is>
          <t>Adulto mayor</t>
        </is>
      </c>
      <c r="H106" s="6" t="n">
        <v>25</v>
      </c>
      <c r="I106" s="6" t="n">
        <v>4435</v>
      </c>
      <c r="J106" s="5" t="inlineStr">
        <is>
          <t>Felipe Herrera</t>
        </is>
      </c>
    </row>
    <row r="107">
      <c r="A107" s="14" t="n">
        <v>104</v>
      </c>
      <c r="B107" s="6" t="n">
        <v>89</v>
      </c>
      <c r="C107" s="5" t="inlineStr">
        <is>
          <t>Camila Díaz Rodríguez</t>
        </is>
      </c>
      <c r="D107" s="10" t="inlineStr">
        <is>
          <t>T4 · VERDE</t>
        </is>
      </c>
      <c r="E107" s="5" t="inlineStr">
        <is>
          <t>HERIDA CON SANGRADO MODERADO</t>
        </is>
      </c>
      <c r="F107" s="6" t="n">
        <v>62</v>
      </c>
      <c r="G107" s="6" t="inlineStr">
        <is>
          <t>Adulto mayor</t>
        </is>
      </c>
      <c r="H107" s="6" t="n">
        <v>20</v>
      </c>
      <c r="I107" s="6" t="n">
        <v>4460</v>
      </c>
      <c r="J107" s="5" t="inlineStr">
        <is>
          <t>Carlos Ramírez</t>
        </is>
      </c>
    </row>
    <row r="108">
      <c r="A108" s="13" t="n">
        <v>105</v>
      </c>
      <c r="B108" s="6" t="n">
        <v>34</v>
      </c>
      <c r="C108" s="5" t="inlineStr">
        <is>
          <t>Valentina Cruz Rodríguez</t>
        </is>
      </c>
      <c r="D108" s="10" t="inlineStr">
        <is>
          <t>T4 · VERDE</t>
        </is>
      </c>
      <c r="E108" s="5" t="inlineStr">
        <is>
          <t>FIEBRE ALTA CON CONVULSIÓN</t>
        </is>
      </c>
      <c r="F108" s="6" t="n">
        <v>73</v>
      </c>
      <c r="G108" s="6" t="inlineStr">
        <is>
          <t>Adulto mayor</t>
        </is>
      </c>
      <c r="H108" s="6" t="n">
        <v>25</v>
      </c>
      <c r="I108" s="6" t="n">
        <v>4480</v>
      </c>
      <c r="J108" s="5" t="inlineStr">
        <is>
          <t>Carlos Ramírez</t>
        </is>
      </c>
    </row>
    <row r="109">
      <c r="A109" s="14" t="n">
        <v>106</v>
      </c>
      <c r="B109" s="6" t="n">
        <v>21</v>
      </c>
      <c r="C109" s="5" t="inlineStr">
        <is>
          <t>Santiago Ramírez Cruz</t>
        </is>
      </c>
      <c r="D109" s="10" t="inlineStr">
        <is>
          <t>T4 · VERDE</t>
        </is>
      </c>
      <c r="E109" s="5" t="inlineStr">
        <is>
          <t>HERIDA CON SANGRADO MODERADO</t>
        </is>
      </c>
      <c r="F109" s="6" t="n">
        <v>66</v>
      </c>
      <c r="G109" s="6" t="inlineStr">
        <is>
          <t>Adulto mayor</t>
        </is>
      </c>
      <c r="H109" s="6" t="n">
        <v>20</v>
      </c>
      <c r="I109" s="6" t="n">
        <v>4505</v>
      </c>
      <c r="J109" s="5" t="inlineStr">
        <is>
          <t>Carlos Ramírez</t>
        </is>
      </c>
    </row>
    <row r="110">
      <c r="A110" s="13" t="n">
        <v>107</v>
      </c>
      <c r="B110" s="6" t="n">
        <v>141</v>
      </c>
      <c r="C110" s="5" t="inlineStr">
        <is>
          <t>Paula Castro Ramírez</t>
        </is>
      </c>
      <c r="D110" s="10" t="inlineStr">
        <is>
          <t>T4 · VERDE</t>
        </is>
      </c>
      <c r="E110" s="5" t="inlineStr">
        <is>
          <t>FIEBRE ALTA CON CONVULSIÓN</t>
        </is>
      </c>
      <c r="F110" s="6" t="n">
        <v>61</v>
      </c>
      <c r="G110" s="6" t="inlineStr">
        <is>
          <t>Adulto mayor</t>
        </is>
      </c>
      <c r="H110" s="6" t="n">
        <v>25</v>
      </c>
      <c r="I110" s="6" t="n">
        <v>4525</v>
      </c>
      <c r="J110" s="5" t="inlineStr">
        <is>
          <t>Felipe Herrera</t>
        </is>
      </c>
    </row>
    <row r="111">
      <c r="A111" s="14" t="n">
        <v>108</v>
      </c>
      <c r="B111" s="6" t="n">
        <v>74</v>
      </c>
      <c r="C111" s="5" t="inlineStr">
        <is>
          <t>Paula Gómez Sánchez</t>
        </is>
      </c>
      <c r="D111" s="10" t="inlineStr">
        <is>
          <t>T4 · VERDE</t>
        </is>
      </c>
      <c r="E111" s="5" t="inlineStr">
        <is>
          <t>FIEBRE ALTA CON CONVULSIÓN</t>
        </is>
      </c>
      <c r="F111" s="6" t="n">
        <v>69</v>
      </c>
      <c r="G111" s="6" t="inlineStr">
        <is>
          <t>Adulto mayor</t>
        </is>
      </c>
      <c r="H111" s="6" t="n">
        <v>25</v>
      </c>
      <c r="I111" s="6" t="n">
        <v>4550</v>
      </c>
      <c r="J111" s="5" t="inlineStr">
        <is>
          <t>Laura Gómez</t>
        </is>
      </c>
    </row>
    <row r="112">
      <c r="A112" s="13" t="n">
        <v>109</v>
      </c>
      <c r="B112" s="6" t="n">
        <v>60</v>
      </c>
      <c r="C112" s="5" t="inlineStr">
        <is>
          <t>Juliana Moreno Ríos</t>
        </is>
      </c>
      <c r="D112" s="10" t="inlineStr">
        <is>
          <t>T4 · VERDE</t>
        </is>
      </c>
      <c r="E112" s="5" t="inlineStr">
        <is>
          <t>HERIDA CON SANGRADO MODERADO</t>
        </is>
      </c>
      <c r="F112" s="6" t="n">
        <v>63</v>
      </c>
      <c r="G112" s="6" t="inlineStr">
        <is>
          <t>Adulto mayor</t>
        </is>
      </c>
      <c r="H112" s="6" t="n">
        <v>20</v>
      </c>
      <c r="I112" s="6" t="n">
        <v>4575</v>
      </c>
      <c r="J112" s="5" t="inlineStr">
        <is>
          <t>Laura Gómez</t>
        </is>
      </c>
    </row>
    <row r="113">
      <c r="A113" s="14" t="n">
        <v>110</v>
      </c>
      <c r="B113" s="6" t="n">
        <v>97</v>
      </c>
      <c r="C113" s="5" t="inlineStr">
        <is>
          <t>Daniel Ramírez Alvarado</t>
        </is>
      </c>
      <c r="D113" s="10" t="inlineStr">
        <is>
          <t>T4 · VERDE</t>
        </is>
      </c>
      <c r="E113" s="5" t="inlineStr">
        <is>
          <t>HERIDA CON SANGRADO MODERADO</t>
        </is>
      </c>
      <c r="F113" s="6" t="n">
        <v>67</v>
      </c>
      <c r="G113" s="6" t="inlineStr">
        <is>
          <t>Adulto mayor</t>
        </is>
      </c>
      <c r="H113" s="6" t="n">
        <v>20</v>
      </c>
      <c r="I113" s="6" t="n">
        <v>4595</v>
      </c>
      <c r="J113" s="5" t="inlineStr">
        <is>
          <t>Andrés Martínez</t>
        </is>
      </c>
    </row>
    <row r="114">
      <c r="A114" s="13" t="n">
        <v>111</v>
      </c>
      <c r="B114" s="6" t="n">
        <v>48</v>
      </c>
      <c r="C114" s="5" t="inlineStr">
        <is>
          <t>Jorge Morales Ospina</t>
        </is>
      </c>
      <c r="D114" s="10" t="inlineStr">
        <is>
          <t>T4 · VERDE</t>
        </is>
      </c>
      <c r="E114" s="5" t="inlineStr">
        <is>
          <t>FIEBRE ALTA CON CONVULSIÓN</t>
        </is>
      </c>
      <c r="F114" s="6" t="n">
        <v>67</v>
      </c>
      <c r="G114" s="6" t="inlineStr">
        <is>
          <t>Adulto mayor</t>
        </is>
      </c>
      <c r="H114" s="6" t="n">
        <v>25</v>
      </c>
      <c r="I114" s="6" t="n">
        <v>4615</v>
      </c>
      <c r="J114" s="5" t="inlineStr">
        <is>
          <t>Laura Gómez</t>
        </is>
      </c>
    </row>
    <row r="115">
      <c r="A115" s="14" t="n">
        <v>112</v>
      </c>
      <c r="B115" s="6" t="n">
        <v>41</v>
      </c>
      <c r="C115" s="5" t="inlineStr">
        <is>
          <t>Juliana Pardo Castro</t>
        </is>
      </c>
      <c r="D115" s="10" t="inlineStr">
        <is>
          <t>T4 · VERDE</t>
        </is>
      </c>
      <c r="E115" s="5" t="inlineStr">
        <is>
          <t>HERIDA CON SANGRADO MODERADO</t>
        </is>
      </c>
      <c r="F115" s="6" t="n">
        <v>43</v>
      </c>
      <c r="G115" s="6" t="inlineStr">
        <is>
          <t>Adulto</t>
        </is>
      </c>
      <c r="H115" s="6" t="n">
        <v>20</v>
      </c>
      <c r="I115" s="6" t="n">
        <v>4640</v>
      </c>
      <c r="J115" s="5" t="inlineStr">
        <is>
          <t>Felipe Herrera</t>
        </is>
      </c>
    </row>
    <row r="116">
      <c r="A116" s="13" t="n">
        <v>113</v>
      </c>
      <c r="B116" s="6" t="n">
        <v>5</v>
      </c>
      <c r="C116" s="5" t="inlineStr">
        <is>
          <t>Fernanda Ospina Cruz</t>
        </is>
      </c>
      <c r="D116" s="10" t="inlineStr">
        <is>
          <t>T4 · VERDE</t>
        </is>
      </c>
      <c r="E116" s="5" t="inlineStr">
        <is>
          <t>FIEBRE ALTA CON CONVULSIÓN</t>
        </is>
      </c>
      <c r="F116" s="6" t="n">
        <v>37</v>
      </c>
      <c r="G116" s="6" t="inlineStr">
        <is>
          <t>Adulto</t>
        </is>
      </c>
      <c r="H116" s="6" t="n">
        <v>25</v>
      </c>
      <c r="I116" s="6" t="n">
        <v>4660</v>
      </c>
      <c r="J116" s="5" t="inlineStr">
        <is>
          <t>Felipe Herrera</t>
        </is>
      </c>
    </row>
    <row r="117">
      <c r="A117" s="14" t="n">
        <v>114</v>
      </c>
      <c r="B117" s="6" t="n">
        <v>64</v>
      </c>
      <c r="C117" s="5" t="inlineStr">
        <is>
          <t>Carlos Díaz Jiménez</t>
        </is>
      </c>
      <c r="D117" s="10" t="inlineStr">
        <is>
          <t>T4 · VERDE</t>
        </is>
      </c>
      <c r="E117" s="5" t="inlineStr">
        <is>
          <t>HERIDA CON SANGRADO MODERADO</t>
        </is>
      </c>
      <c r="F117" s="6" t="n">
        <v>59</v>
      </c>
      <c r="G117" s="6" t="inlineStr">
        <is>
          <t>Adulto</t>
        </is>
      </c>
      <c r="H117" s="6" t="n">
        <v>20</v>
      </c>
      <c r="I117" s="6" t="n">
        <v>4685</v>
      </c>
      <c r="J117" s="5" t="inlineStr">
        <is>
          <t>Andrés Martínez</t>
        </is>
      </c>
    </row>
    <row r="118">
      <c r="A118" s="13" t="n">
        <v>115</v>
      </c>
      <c r="B118" s="6" t="n">
        <v>124</v>
      </c>
      <c r="C118" s="5" t="inlineStr">
        <is>
          <t>Paula Pardo Torres</t>
        </is>
      </c>
      <c r="D118" s="10" t="inlineStr">
        <is>
          <t>T4 · VERDE</t>
        </is>
      </c>
      <c r="E118" s="5" t="inlineStr">
        <is>
          <t>HERIDA CON SANGRADO MODERADO</t>
        </is>
      </c>
      <c r="F118" s="6" t="n">
        <v>22</v>
      </c>
      <c r="G118" s="6" t="inlineStr">
        <is>
          <t>Adulto</t>
        </is>
      </c>
      <c r="H118" s="6" t="n">
        <v>20</v>
      </c>
      <c r="I118" s="6" t="n">
        <v>4705</v>
      </c>
      <c r="J118" s="5" t="inlineStr">
        <is>
          <t>Andrés Martínez</t>
        </is>
      </c>
    </row>
    <row r="119">
      <c r="A119" s="14" t="n">
        <v>116</v>
      </c>
      <c r="B119" s="6" t="n">
        <v>120</v>
      </c>
      <c r="C119" s="5" t="inlineStr">
        <is>
          <t>Alejandra Moreno Martínez</t>
        </is>
      </c>
      <c r="D119" s="10" t="inlineStr">
        <is>
          <t>T4 · VERDE</t>
        </is>
      </c>
      <c r="E119" s="5" t="inlineStr">
        <is>
          <t>HERIDA CON SANGRADO MODERADO</t>
        </is>
      </c>
      <c r="F119" s="6" t="n">
        <v>54</v>
      </c>
      <c r="G119" s="6" t="inlineStr">
        <is>
          <t>Adulto</t>
        </is>
      </c>
      <c r="H119" s="6" t="n">
        <v>20</v>
      </c>
      <c r="I119" s="6" t="n">
        <v>4725</v>
      </c>
      <c r="J119" s="5" t="inlineStr">
        <is>
          <t>Felipe Herrera</t>
        </is>
      </c>
    </row>
    <row r="120">
      <c r="A120" s="13" t="n">
        <v>117</v>
      </c>
      <c r="B120" s="6" t="n">
        <v>88</v>
      </c>
      <c r="C120" s="5" t="inlineStr">
        <is>
          <t>Paula Bernal Díaz</t>
        </is>
      </c>
      <c r="D120" s="10" t="inlineStr">
        <is>
          <t>T4 · VERDE</t>
        </is>
      </c>
      <c r="E120" s="5" t="inlineStr">
        <is>
          <t>FIEBRE ALTA CON CONVULSIÓN</t>
        </is>
      </c>
      <c r="F120" s="6" t="n">
        <v>52</v>
      </c>
      <c r="G120" s="6" t="inlineStr">
        <is>
          <t>Adulto</t>
        </is>
      </c>
      <c r="H120" s="6" t="n">
        <v>25</v>
      </c>
      <c r="I120" s="6" t="n">
        <v>4745</v>
      </c>
      <c r="J120" s="5" t="inlineStr">
        <is>
          <t>Andrés Martínez</t>
        </is>
      </c>
    </row>
    <row r="121">
      <c r="A121" s="14" t="n">
        <v>118</v>
      </c>
      <c r="B121" s="6" t="n">
        <v>107</v>
      </c>
      <c r="C121" s="5" t="inlineStr">
        <is>
          <t>Sebastián Herrera Morales</t>
        </is>
      </c>
      <c r="D121" s="10" t="inlineStr">
        <is>
          <t>T4 · VERDE</t>
        </is>
      </c>
      <c r="E121" s="5" t="inlineStr">
        <is>
          <t>FIEBRE ALTA CON CONVULSIÓN</t>
        </is>
      </c>
      <c r="F121" s="6" t="n">
        <v>39</v>
      </c>
      <c r="G121" s="6" t="inlineStr">
        <is>
          <t>Adulto</t>
        </is>
      </c>
      <c r="H121" s="6" t="n">
        <v>25</v>
      </c>
      <c r="I121" s="6" t="n">
        <v>4770</v>
      </c>
      <c r="J121" s="5" t="inlineStr">
        <is>
          <t>Sofía Torres</t>
        </is>
      </c>
    </row>
    <row r="122">
      <c r="A122" s="13" t="n">
        <v>119</v>
      </c>
      <c r="B122" s="6" t="n">
        <v>57</v>
      </c>
      <c r="C122" s="5" t="inlineStr">
        <is>
          <t>Laura Medina Rodríguez</t>
        </is>
      </c>
      <c r="D122" s="10" t="inlineStr">
        <is>
          <t>T4 · VERDE</t>
        </is>
      </c>
      <c r="E122" s="5" t="inlineStr">
        <is>
          <t>HERIDA CON SANGRADO MODERADO</t>
        </is>
      </c>
      <c r="F122" s="6" t="n">
        <v>28</v>
      </c>
      <c r="G122" s="6" t="inlineStr">
        <is>
          <t>Adulto</t>
        </is>
      </c>
      <c r="H122" s="6" t="n">
        <v>20</v>
      </c>
      <c r="I122" s="6" t="n">
        <v>4795</v>
      </c>
      <c r="J122" s="5" t="inlineStr">
        <is>
          <t>Sofía Torres</t>
        </is>
      </c>
    </row>
    <row r="123">
      <c r="A123" s="14" t="n">
        <v>120</v>
      </c>
      <c r="B123" s="6" t="n">
        <v>43</v>
      </c>
      <c r="C123" s="5" t="inlineStr">
        <is>
          <t>Ricardo Sánchez Ospina</t>
        </is>
      </c>
      <c r="D123" s="10" t="inlineStr">
        <is>
          <t>T4 · VERDE</t>
        </is>
      </c>
      <c r="E123" s="5" t="inlineStr">
        <is>
          <t>FIEBRE ALTA CON CONVULSIÓN</t>
        </is>
      </c>
      <c r="F123" s="6" t="n">
        <v>19</v>
      </c>
      <c r="G123" s="6" t="inlineStr">
        <is>
          <t>Adulto</t>
        </is>
      </c>
      <c r="H123" s="6" t="n">
        <v>25</v>
      </c>
      <c r="I123" s="6" t="n">
        <v>4815</v>
      </c>
      <c r="J123" s="5" t="inlineStr">
        <is>
          <t>Sofía Torres</t>
        </is>
      </c>
    </row>
    <row r="124">
      <c r="A124" s="13" t="n">
        <v>121</v>
      </c>
      <c r="B124" s="6" t="n">
        <v>92</v>
      </c>
      <c r="C124" s="5" t="inlineStr">
        <is>
          <t>Sebastián Díaz Medina</t>
        </is>
      </c>
      <c r="D124" s="10" t="inlineStr">
        <is>
          <t>T4 · VERDE</t>
        </is>
      </c>
      <c r="E124" s="5" t="inlineStr">
        <is>
          <t>FIEBRE ALTA CON CONVULSIÓN</t>
        </is>
      </c>
      <c r="F124" s="6" t="n">
        <v>57</v>
      </c>
      <c r="G124" s="6" t="inlineStr">
        <is>
          <t>Adulto</t>
        </is>
      </c>
      <c r="H124" s="6" t="n">
        <v>25</v>
      </c>
      <c r="I124" s="6" t="n">
        <v>4840</v>
      </c>
      <c r="J124" s="5" t="inlineStr">
        <is>
          <t>Laura Gómez</t>
        </is>
      </c>
    </row>
    <row r="125">
      <c r="A125" s="14" t="n">
        <v>122</v>
      </c>
      <c r="B125" s="6" t="n">
        <v>87</v>
      </c>
      <c r="C125" s="5" t="inlineStr">
        <is>
          <t>Miguel Sánchez Sánchez</t>
        </is>
      </c>
      <c r="D125" s="10" t="inlineStr">
        <is>
          <t>T4 · VERDE</t>
        </is>
      </c>
      <c r="E125" s="5" t="inlineStr">
        <is>
          <t>FIEBRE ALTA CON CONVULSIÓN</t>
        </is>
      </c>
      <c r="F125" s="6" t="n">
        <v>42</v>
      </c>
      <c r="G125" s="6" t="inlineStr">
        <is>
          <t>Adulto</t>
        </is>
      </c>
      <c r="H125" s="6" t="n">
        <v>25</v>
      </c>
      <c r="I125" s="6" t="n">
        <v>4865</v>
      </c>
      <c r="J125" s="5" t="inlineStr">
        <is>
          <t>Andrés Martínez</t>
        </is>
      </c>
    </row>
    <row r="126">
      <c r="A126" s="13" t="n">
        <v>123</v>
      </c>
      <c r="B126" s="6" t="n">
        <v>108</v>
      </c>
      <c r="C126" s="5" t="inlineStr">
        <is>
          <t>Ana Moreno Sánchez</t>
        </is>
      </c>
      <c r="D126" s="10" t="inlineStr">
        <is>
          <t>T4 · VERDE</t>
        </is>
      </c>
      <c r="E126" s="5" t="inlineStr">
        <is>
          <t>FIEBRE ALTA CON CONVULSIÓN</t>
        </is>
      </c>
      <c r="F126" s="6" t="n">
        <v>26</v>
      </c>
      <c r="G126" s="6" t="inlineStr">
        <is>
          <t>Adulto</t>
        </is>
      </c>
      <c r="H126" s="6" t="n">
        <v>25</v>
      </c>
      <c r="I126" s="6" t="n">
        <v>4890</v>
      </c>
      <c r="J126" s="5" t="inlineStr">
        <is>
          <t>Felipe Herrera</t>
        </is>
      </c>
    </row>
    <row r="127">
      <c r="A127" s="14" t="n">
        <v>124</v>
      </c>
      <c r="B127" s="6" t="n">
        <v>115</v>
      </c>
      <c r="C127" s="5" t="inlineStr">
        <is>
          <t>Santiago Vargas Cruz</t>
        </is>
      </c>
      <c r="D127" s="10" t="inlineStr">
        <is>
          <t>T4 · VERDE</t>
        </is>
      </c>
      <c r="E127" s="5" t="inlineStr">
        <is>
          <t>FIEBRE ALTA CON CONVULSIÓN</t>
        </is>
      </c>
      <c r="F127" s="6" t="n">
        <v>35</v>
      </c>
      <c r="G127" s="6" t="inlineStr">
        <is>
          <t>Adulto</t>
        </is>
      </c>
      <c r="H127" s="6" t="n">
        <v>25</v>
      </c>
      <c r="I127" s="6" t="n">
        <v>4915</v>
      </c>
      <c r="J127" s="5" t="inlineStr">
        <is>
          <t>Andrés Martínez</t>
        </is>
      </c>
    </row>
    <row r="128">
      <c r="A128" s="13" t="n">
        <v>125</v>
      </c>
      <c r="B128" s="6" t="n">
        <v>85</v>
      </c>
      <c r="C128" s="5" t="inlineStr">
        <is>
          <t>Laura Cárdenas Sánchez</t>
        </is>
      </c>
      <c r="D128" s="10" t="inlineStr">
        <is>
          <t>T4 · VERDE</t>
        </is>
      </c>
      <c r="E128" s="5" t="inlineStr">
        <is>
          <t>FIEBRE ALTA CON CONVULSIÓN</t>
        </is>
      </c>
      <c r="F128" s="6" t="n">
        <v>27</v>
      </c>
      <c r="G128" s="6" t="inlineStr">
        <is>
          <t>Adulto</t>
        </is>
      </c>
      <c r="H128" s="6" t="n">
        <v>25</v>
      </c>
      <c r="I128" s="6" t="n">
        <v>4940</v>
      </c>
      <c r="J128" s="5" t="inlineStr">
        <is>
          <t>Carlos Ramírez</t>
        </is>
      </c>
    </row>
    <row r="129">
      <c r="A129" s="14" t="n">
        <v>126</v>
      </c>
      <c r="B129" s="6" t="n">
        <v>133</v>
      </c>
      <c r="C129" s="5" t="inlineStr">
        <is>
          <t>Alejandro Díaz Ramírez</t>
        </is>
      </c>
      <c r="D129" s="10" t="inlineStr">
        <is>
          <t>T4 · VERDE</t>
        </is>
      </c>
      <c r="E129" s="5" t="inlineStr">
        <is>
          <t>HERIDA CON SANGRADO MODERADO</t>
        </is>
      </c>
      <c r="F129" s="6" t="n">
        <v>42</v>
      </c>
      <c r="G129" s="6" t="inlineStr">
        <is>
          <t>Adulto</t>
        </is>
      </c>
      <c r="H129" s="6" t="n">
        <v>20</v>
      </c>
      <c r="I129" s="6" t="n">
        <v>4965</v>
      </c>
      <c r="J129" s="5" t="inlineStr">
        <is>
          <t>Sofía Torres</t>
        </is>
      </c>
    </row>
    <row r="130">
      <c r="A130" s="13" t="n">
        <v>127</v>
      </c>
      <c r="B130" s="6" t="n">
        <v>98</v>
      </c>
      <c r="C130" s="5" t="inlineStr">
        <is>
          <t>Juliana Reyes Vargas</t>
        </is>
      </c>
      <c r="D130" s="10" t="inlineStr">
        <is>
          <t>T4 · VERDE</t>
        </is>
      </c>
      <c r="E130" s="5" t="inlineStr">
        <is>
          <t>HERIDA CON SANGRADO MODERADO</t>
        </is>
      </c>
      <c r="F130" s="6" t="n">
        <v>40</v>
      </c>
      <c r="G130" s="6" t="inlineStr">
        <is>
          <t>Adulto</t>
        </is>
      </c>
      <c r="H130" s="6" t="n">
        <v>20</v>
      </c>
      <c r="I130" s="6" t="n">
        <v>4985</v>
      </c>
      <c r="J130" s="5" t="inlineStr">
        <is>
          <t>Sofía Torres</t>
        </is>
      </c>
    </row>
    <row r="131">
      <c r="A131" s="14" t="n">
        <v>128</v>
      </c>
      <c r="B131" s="6" t="n">
        <v>118</v>
      </c>
      <c r="C131" s="5" t="inlineStr">
        <is>
          <t>Alejandro Cruz Vargas</t>
        </is>
      </c>
      <c r="D131" s="10" t="inlineStr">
        <is>
          <t>T4 · VERDE</t>
        </is>
      </c>
      <c r="E131" s="5" t="inlineStr">
        <is>
          <t>HERIDA CON SANGRADO MODERADO</t>
        </is>
      </c>
      <c r="F131" s="6" t="n">
        <v>23</v>
      </c>
      <c r="G131" s="6" t="inlineStr">
        <is>
          <t>Adulto</t>
        </is>
      </c>
      <c r="H131" s="6" t="n">
        <v>20</v>
      </c>
      <c r="I131" s="6" t="n">
        <v>5005</v>
      </c>
      <c r="J131" s="5" t="inlineStr">
        <is>
          <t>Carlos Ramírez</t>
        </is>
      </c>
    </row>
    <row r="132">
      <c r="A132" s="13" t="n">
        <v>129</v>
      </c>
      <c r="B132" s="6" t="n">
        <v>146</v>
      </c>
      <c r="C132" s="5" t="inlineStr">
        <is>
          <t>Felipe Ríos Castro</t>
        </is>
      </c>
      <c r="D132" s="9" t="inlineStr">
        <is>
          <t>T5 · AZUL</t>
        </is>
      </c>
      <c r="E132" s="5" t="inlineStr">
        <is>
          <t>DOLOR LEVE / MALESTAR GENERAL</t>
        </is>
      </c>
      <c r="F132" s="6" t="n">
        <v>87</v>
      </c>
      <c r="G132" s="6" t="inlineStr">
        <is>
          <t>Anciano</t>
        </is>
      </c>
      <c r="H132" s="6" t="n">
        <v>15</v>
      </c>
      <c r="I132" s="6" t="n">
        <v>5025</v>
      </c>
      <c r="J132" s="5" t="inlineStr">
        <is>
          <t>Carlos Ramírez</t>
        </is>
      </c>
    </row>
    <row r="133">
      <c r="A133" s="14" t="n">
        <v>130</v>
      </c>
      <c r="B133" s="6" t="n">
        <v>112</v>
      </c>
      <c r="C133" s="5" t="inlineStr">
        <is>
          <t>Laura Ríos Cruz</t>
        </is>
      </c>
      <c r="D133" s="9" t="inlineStr">
        <is>
          <t>T5 · AZUL</t>
        </is>
      </c>
      <c r="E133" s="5" t="inlineStr">
        <is>
          <t>DOLOR LEVE / MALESTAR GENERAL</t>
        </is>
      </c>
      <c r="F133" s="6" t="n">
        <v>77</v>
      </c>
      <c r="G133" s="6" t="inlineStr">
        <is>
          <t>Anciano</t>
        </is>
      </c>
      <c r="H133" s="6" t="n">
        <v>15</v>
      </c>
      <c r="I133" s="6" t="n">
        <v>5040</v>
      </c>
      <c r="J133" s="5" t="inlineStr">
        <is>
          <t>Carlos Ramírez</t>
        </is>
      </c>
    </row>
    <row r="134">
      <c r="A134" s="13" t="n">
        <v>131</v>
      </c>
      <c r="B134" s="6" t="n">
        <v>145</v>
      </c>
      <c r="C134" s="5" t="inlineStr">
        <is>
          <t>Alejandro Vargas Muñoz</t>
        </is>
      </c>
      <c r="D134" s="9" t="inlineStr">
        <is>
          <t>T5 · AZUL</t>
        </is>
      </c>
      <c r="E134" s="5" t="inlineStr">
        <is>
          <t>CONSULTA MENOR (GRIPE, TOS)</t>
        </is>
      </c>
      <c r="F134" s="6" t="n">
        <v>82</v>
      </c>
      <c r="G134" s="6" t="inlineStr">
        <is>
          <t>Anciano</t>
        </is>
      </c>
      <c r="H134" s="6" t="n">
        <v>10</v>
      </c>
      <c r="I134" s="6" t="n">
        <v>5055</v>
      </c>
      <c r="J134" s="5" t="inlineStr">
        <is>
          <t>Laura Gómez</t>
        </is>
      </c>
    </row>
    <row r="135">
      <c r="A135" s="14" t="n">
        <v>132</v>
      </c>
      <c r="B135" s="6" t="n">
        <v>9</v>
      </c>
      <c r="C135" s="5" t="inlineStr">
        <is>
          <t>Fernanda Ospina Muñoz</t>
        </is>
      </c>
      <c r="D135" s="9" t="inlineStr">
        <is>
          <t>T5 · AZUL</t>
        </is>
      </c>
      <c r="E135" s="5" t="inlineStr">
        <is>
          <t>DOLOR LEVE / MALESTAR GENERAL</t>
        </is>
      </c>
      <c r="F135" s="6" t="n">
        <v>75</v>
      </c>
      <c r="G135" s="6" t="inlineStr">
        <is>
          <t>Anciano</t>
        </is>
      </c>
      <c r="H135" s="6" t="n">
        <v>15</v>
      </c>
      <c r="I135" s="6" t="n">
        <v>5065</v>
      </c>
      <c r="J135" s="5" t="inlineStr">
        <is>
          <t>Andrés Martínez</t>
        </is>
      </c>
    </row>
    <row r="136">
      <c r="A136" s="13" t="n">
        <v>133</v>
      </c>
      <c r="B136" s="6" t="n">
        <v>33</v>
      </c>
      <c r="C136" s="5" t="inlineStr">
        <is>
          <t>Carlos Reyes Ospina</t>
        </is>
      </c>
      <c r="D136" s="9" t="inlineStr">
        <is>
          <t>T5 · AZUL</t>
        </is>
      </c>
      <c r="E136" s="5" t="inlineStr">
        <is>
          <t>CONSULTA MENOR (GRIPE, TOS)</t>
        </is>
      </c>
      <c r="F136" s="6" t="n">
        <v>81</v>
      </c>
      <c r="G136" s="6" t="inlineStr">
        <is>
          <t>Anciano</t>
        </is>
      </c>
      <c r="H136" s="6" t="n">
        <v>10</v>
      </c>
      <c r="I136" s="6" t="n">
        <v>5080</v>
      </c>
      <c r="J136" s="5" t="inlineStr">
        <is>
          <t>Sofía Torres</t>
        </is>
      </c>
    </row>
    <row r="137">
      <c r="A137" s="14" t="n">
        <v>134</v>
      </c>
      <c r="B137" s="6" t="n">
        <v>38</v>
      </c>
      <c r="C137" s="5" t="inlineStr">
        <is>
          <t>Isabella Vargas Ospina</t>
        </is>
      </c>
      <c r="D137" s="9" t="inlineStr">
        <is>
          <t>T5 · AZUL</t>
        </is>
      </c>
      <c r="E137" s="5" t="inlineStr">
        <is>
          <t>CONSULTA MENOR (GRIPE, TOS)</t>
        </is>
      </c>
      <c r="F137" s="6" t="n">
        <v>0</v>
      </c>
      <c r="G137" s="6" t="inlineStr">
        <is>
          <t>Neonato</t>
        </is>
      </c>
      <c r="H137" s="6" t="n">
        <v>10</v>
      </c>
      <c r="I137" s="6" t="n">
        <v>5090</v>
      </c>
      <c r="J137" s="5" t="inlineStr">
        <is>
          <t>Felipe Herrera</t>
        </is>
      </c>
    </row>
    <row r="138">
      <c r="A138" s="13" t="n">
        <v>135</v>
      </c>
      <c r="B138" s="6" t="n">
        <v>134</v>
      </c>
      <c r="C138" s="5" t="inlineStr">
        <is>
          <t>Juan Alvarado Vargas</t>
        </is>
      </c>
      <c r="D138" s="9" t="inlineStr">
        <is>
          <t>T5 · AZUL</t>
        </is>
      </c>
      <c r="E138" s="5" t="inlineStr">
        <is>
          <t>CONSULTA MENOR (GRIPE, TOS)</t>
        </is>
      </c>
      <c r="F138" s="6" t="n">
        <v>86</v>
      </c>
      <c r="G138" s="6" t="inlineStr">
        <is>
          <t>Anciano</t>
        </is>
      </c>
      <c r="H138" s="6" t="n">
        <v>10</v>
      </c>
      <c r="I138" s="6" t="n">
        <v>5100</v>
      </c>
      <c r="J138" s="5" t="inlineStr">
        <is>
          <t>Andrés Martínez</t>
        </is>
      </c>
    </row>
    <row r="139">
      <c r="A139" s="14" t="n">
        <v>136</v>
      </c>
      <c r="B139" s="6" t="n">
        <v>4</v>
      </c>
      <c r="C139" s="5" t="inlineStr">
        <is>
          <t>Valentina Castro Martínez</t>
        </is>
      </c>
      <c r="D139" s="9" t="inlineStr">
        <is>
          <t>T5 · AZUL</t>
        </is>
      </c>
      <c r="E139" s="5" t="inlineStr">
        <is>
          <t>DOLOR LEVE / MALESTAR GENERAL</t>
        </is>
      </c>
      <c r="F139" s="6" t="n">
        <v>77</v>
      </c>
      <c r="G139" s="6" t="inlineStr">
        <is>
          <t>Anciano</t>
        </is>
      </c>
      <c r="H139" s="6" t="n">
        <v>15</v>
      </c>
      <c r="I139" s="6" t="n">
        <v>5110</v>
      </c>
      <c r="J139" s="5" t="inlineStr">
        <is>
          <t>Sofía Torres</t>
        </is>
      </c>
    </row>
    <row r="140">
      <c r="A140" s="13" t="n">
        <v>137</v>
      </c>
      <c r="B140" s="6" t="n">
        <v>111</v>
      </c>
      <c r="C140" s="5" t="inlineStr">
        <is>
          <t>María Martínez Vargas</t>
        </is>
      </c>
      <c r="D140" s="9" t="inlineStr">
        <is>
          <t>T5 · AZUL</t>
        </is>
      </c>
      <c r="E140" s="5" t="inlineStr">
        <is>
          <t>CONSULTA MENOR (GRIPE, TOS)</t>
        </is>
      </c>
      <c r="F140" s="6" t="n">
        <v>5</v>
      </c>
      <c r="G140" s="6" t="inlineStr">
        <is>
          <t>Infante</t>
        </is>
      </c>
      <c r="H140" s="6" t="n">
        <v>10</v>
      </c>
      <c r="I140" s="6" t="n">
        <v>5125</v>
      </c>
      <c r="J140" s="5" t="inlineStr">
        <is>
          <t>Felipe Herrera</t>
        </is>
      </c>
    </row>
    <row r="141">
      <c r="A141" s="14" t="n">
        <v>138</v>
      </c>
      <c r="B141" s="6" t="n">
        <v>86</v>
      </c>
      <c r="C141" s="5" t="inlineStr">
        <is>
          <t>Juan Bernal Pardo</t>
        </is>
      </c>
      <c r="D141" s="9" t="inlineStr">
        <is>
          <t>T5 · AZUL</t>
        </is>
      </c>
      <c r="E141" s="5" t="inlineStr">
        <is>
          <t>DOLOR LEVE / MALESTAR GENERAL</t>
        </is>
      </c>
      <c r="F141" s="6" t="n">
        <v>3</v>
      </c>
      <c r="G141" s="6" t="inlineStr">
        <is>
          <t>Infante</t>
        </is>
      </c>
      <c r="H141" s="6" t="n">
        <v>15</v>
      </c>
      <c r="I141" s="6" t="n">
        <v>5135</v>
      </c>
      <c r="J141" s="5" t="inlineStr">
        <is>
          <t>Carlos Ramírez</t>
        </is>
      </c>
    </row>
    <row r="142">
      <c r="A142" s="13" t="n">
        <v>139</v>
      </c>
      <c r="B142" s="6" t="n">
        <v>10</v>
      </c>
      <c r="C142" s="5" t="inlineStr">
        <is>
          <t>Alejandra Rodríguez Moreno</t>
        </is>
      </c>
      <c r="D142" s="9" t="inlineStr">
        <is>
          <t>T5 · AZUL</t>
        </is>
      </c>
      <c r="E142" s="5" t="inlineStr">
        <is>
          <t>CONSULTA MENOR (GRIPE, TOS)</t>
        </is>
      </c>
      <c r="F142" s="6" t="n">
        <v>69</v>
      </c>
      <c r="G142" s="6" t="inlineStr">
        <is>
          <t>Adulto mayor</t>
        </is>
      </c>
      <c r="H142" s="6" t="n">
        <v>10</v>
      </c>
      <c r="I142" s="6" t="n">
        <v>5150</v>
      </c>
      <c r="J142" s="5" t="inlineStr">
        <is>
          <t>Carlos Ramírez</t>
        </is>
      </c>
    </row>
    <row r="143">
      <c r="A143" s="14" t="n">
        <v>140</v>
      </c>
      <c r="B143" s="6" t="n">
        <v>105</v>
      </c>
      <c r="C143" s="5" t="inlineStr">
        <is>
          <t>Daniela Martínez Alvarado</t>
        </is>
      </c>
      <c r="D143" s="9" t="inlineStr">
        <is>
          <t>T5 · AZUL</t>
        </is>
      </c>
      <c r="E143" s="5" t="inlineStr">
        <is>
          <t>CONSULTA MENOR (GRIPE, TOS)</t>
        </is>
      </c>
      <c r="F143" s="6" t="n">
        <v>70</v>
      </c>
      <c r="G143" s="6" t="inlineStr">
        <is>
          <t>Adulto mayor</t>
        </is>
      </c>
      <c r="H143" s="6" t="n">
        <v>10</v>
      </c>
      <c r="I143" s="6" t="n">
        <v>5160</v>
      </c>
      <c r="J143" s="5" t="inlineStr">
        <is>
          <t>Carlos Ramírez</t>
        </is>
      </c>
    </row>
    <row r="144">
      <c r="A144" s="13" t="n">
        <v>141</v>
      </c>
      <c r="B144" s="6" t="n">
        <v>106</v>
      </c>
      <c r="C144" s="5" t="inlineStr">
        <is>
          <t>Nicolás Vargas Morales</t>
        </is>
      </c>
      <c r="D144" s="9" t="inlineStr">
        <is>
          <t>T5 · AZUL</t>
        </is>
      </c>
      <c r="E144" s="5" t="inlineStr">
        <is>
          <t>DOLOR LEVE / MALESTAR GENERAL</t>
        </is>
      </c>
      <c r="F144" s="6" t="n">
        <v>44</v>
      </c>
      <c r="G144" s="6" t="inlineStr">
        <is>
          <t>Adulto</t>
        </is>
      </c>
      <c r="H144" s="6" t="n">
        <v>15</v>
      </c>
      <c r="I144" s="6" t="n">
        <v>5170</v>
      </c>
      <c r="J144" s="5" t="inlineStr">
        <is>
          <t>Laura Gómez</t>
        </is>
      </c>
    </row>
    <row r="145">
      <c r="A145" s="14" t="n">
        <v>142</v>
      </c>
      <c r="B145" s="6" t="n">
        <v>121</v>
      </c>
      <c r="C145" s="5" t="inlineStr">
        <is>
          <t>María Cárdenas Vargas</t>
        </is>
      </c>
      <c r="D145" s="9" t="inlineStr">
        <is>
          <t>T5 · AZUL</t>
        </is>
      </c>
      <c r="E145" s="5" t="inlineStr">
        <is>
          <t>DOLOR LEVE / MALESTAR GENERAL</t>
        </is>
      </c>
      <c r="F145" s="6" t="n">
        <v>58</v>
      </c>
      <c r="G145" s="6" t="inlineStr">
        <is>
          <t>Adulto</t>
        </is>
      </c>
      <c r="H145" s="6" t="n">
        <v>15</v>
      </c>
      <c r="I145" s="6" t="n">
        <v>5185</v>
      </c>
      <c r="J145" s="5" t="inlineStr">
        <is>
          <t>Sofía Torres</t>
        </is>
      </c>
    </row>
    <row r="146">
      <c r="A146" s="13" t="n">
        <v>143</v>
      </c>
      <c r="B146" s="6" t="n">
        <v>6</v>
      </c>
      <c r="C146" s="5" t="inlineStr">
        <is>
          <t>Valentina García Rodríguez</t>
        </is>
      </c>
      <c r="D146" s="9" t="inlineStr">
        <is>
          <t>T5 · AZUL</t>
        </is>
      </c>
      <c r="E146" s="5" t="inlineStr">
        <is>
          <t>DOLOR LEVE / MALESTAR GENERAL</t>
        </is>
      </c>
      <c r="F146" s="6" t="n">
        <v>51</v>
      </c>
      <c r="G146" s="6" t="inlineStr">
        <is>
          <t>Adulto</t>
        </is>
      </c>
      <c r="H146" s="6" t="n">
        <v>15</v>
      </c>
      <c r="I146" s="6" t="n">
        <v>5200</v>
      </c>
      <c r="J146" s="5" t="inlineStr">
        <is>
          <t>Felipe Herrera</t>
        </is>
      </c>
    </row>
    <row r="147">
      <c r="A147" s="14" t="n">
        <v>144</v>
      </c>
      <c r="B147" s="6" t="n">
        <v>67</v>
      </c>
      <c r="C147" s="5" t="inlineStr">
        <is>
          <t>Alejandra Herrera Moreno</t>
        </is>
      </c>
      <c r="D147" s="9" t="inlineStr">
        <is>
          <t>T5 · AZUL</t>
        </is>
      </c>
      <c r="E147" s="5" t="inlineStr">
        <is>
          <t>DOLOR LEVE / MALESTAR GENERAL</t>
        </is>
      </c>
      <c r="F147" s="6" t="n">
        <v>22</v>
      </c>
      <c r="G147" s="6" t="inlineStr">
        <is>
          <t>Adulto</t>
        </is>
      </c>
      <c r="H147" s="6" t="n">
        <v>15</v>
      </c>
      <c r="I147" s="6" t="n">
        <v>5215</v>
      </c>
      <c r="J147" s="5" t="inlineStr">
        <is>
          <t>Felipe Herrera</t>
        </is>
      </c>
    </row>
    <row r="148">
      <c r="A148" s="13" t="n">
        <v>145</v>
      </c>
      <c r="B148" s="6" t="n">
        <v>44</v>
      </c>
      <c r="C148" s="5" t="inlineStr">
        <is>
          <t>Andrés Medina Cárdenas</t>
        </is>
      </c>
      <c r="D148" s="9" t="inlineStr">
        <is>
          <t>T5 · AZUL</t>
        </is>
      </c>
      <c r="E148" s="5" t="inlineStr">
        <is>
          <t>CONSULTA MENOR (GRIPE, TOS)</t>
        </is>
      </c>
      <c r="F148" s="6" t="n">
        <v>20</v>
      </c>
      <c r="G148" s="6" t="inlineStr">
        <is>
          <t>Adulto</t>
        </is>
      </c>
      <c r="H148" s="6" t="n">
        <v>10</v>
      </c>
      <c r="I148" s="6" t="n">
        <v>5230</v>
      </c>
      <c r="J148" s="5" t="inlineStr">
        <is>
          <t>Sofía Torres</t>
        </is>
      </c>
    </row>
    <row r="149">
      <c r="A149" s="14" t="n">
        <v>146</v>
      </c>
      <c r="B149" s="6" t="n">
        <v>76</v>
      </c>
      <c r="C149" s="5" t="inlineStr">
        <is>
          <t>Daniela Alvarado Torres</t>
        </is>
      </c>
      <c r="D149" s="9" t="inlineStr">
        <is>
          <t>T5 · AZUL</t>
        </is>
      </c>
      <c r="E149" s="5" t="inlineStr">
        <is>
          <t>DOLOR LEVE / MALESTAR GENERAL</t>
        </is>
      </c>
      <c r="F149" s="6" t="n">
        <v>42</v>
      </c>
      <c r="G149" s="6" t="inlineStr">
        <is>
          <t>Adulto</t>
        </is>
      </c>
      <c r="H149" s="6" t="n">
        <v>15</v>
      </c>
      <c r="I149" s="6" t="n">
        <v>5240</v>
      </c>
      <c r="J149" s="5" t="inlineStr">
        <is>
          <t>Carlos Ramírez</t>
        </is>
      </c>
    </row>
    <row r="150">
      <c r="A150" s="13" t="n">
        <v>147</v>
      </c>
      <c r="B150" s="6" t="n">
        <v>13</v>
      </c>
      <c r="C150" s="5" t="inlineStr">
        <is>
          <t>Claudia Gómez Castro</t>
        </is>
      </c>
      <c r="D150" s="9" t="inlineStr">
        <is>
          <t>T5 · AZUL</t>
        </is>
      </c>
      <c r="E150" s="5" t="inlineStr">
        <is>
          <t>CONSULTA MENOR (GRIPE, TOS)</t>
        </is>
      </c>
      <c r="F150" s="6" t="n">
        <v>29</v>
      </c>
      <c r="G150" s="6" t="inlineStr">
        <is>
          <t>Adulto</t>
        </is>
      </c>
      <c r="H150" s="6" t="n">
        <v>10</v>
      </c>
      <c r="I150" s="6" t="n">
        <v>5255</v>
      </c>
      <c r="J150" s="5" t="inlineStr">
        <is>
          <t>Laura Gómez</t>
        </is>
      </c>
    </row>
    <row r="151">
      <c r="A151" s="14" t="n">
        <v>148</v>
      </c>
      <c r="B151" s="6" t="n">
        <v>75</v>
      </c>
      <c r="C151" s="5" t="inlineStr">
        <is>
          <t>Andrés Cruz García</t>
        </is>
      </c>
      <c r="D151" s="9" t="inlineStr">
        <is>
          <t>T5 · AZUL</t>
        </is>
      </c>
      <c r="E151" s="5" t="inlineStr">
        <is>
          <t>DOLOR LEVE / MALESTAR GENERAL</t>
        </is>
      </c>
      <c r="F151" s="6" t="n">
        <v>58</v>
      </c>
      <c r="G151" s="6" t="inlineStr">
        <is>
          <t>Adulto</t>
        </is>
      </c>
      <c r="H151" s="6" t="n">
        <v>15</v>
      </c>
      <c r="I151" s="6" t="n">
        <v>5265</v>
      </c>
      <c r="J151" s="5" t="inlineStr">
        <is>
          <t>Andrés Martínez</t>
        </is>
      </c>
    </row>
    <row r="152">
      <c r="A152" s="13" t="n">
        <v>149</v>
      </c>
      <c r="B152" s="6" t="n">
        <v>142</v>
      </c>
      <c r="C152" s="5" t="inlineStr">
        <is>
          <t>Mariana Muñoz Ramírez</t>
        </is>
      </c>
      <c r="D152" s="9" t="inlineStr">
        <is>
          <t>T5 · AZUL</t>
        </is>
      </c>
      <c r="E152" s="5" t="inlineStr">
        <is>
          <t>CONSULTA MENOR (GRIPE, TOS)</t>
        </is>
      </c>
      <c r="F152" s="6" t="n">
        <v>47</v>
      </c>
      <c r="G152" s="6" t="inlineStr">
        <is>
          <t>Adulto</t>
        </is>
      </c>
      <c r="H152" s="6" t="n">
        <v>10</v>
      </c>
      <c r="I152" s="6" t="n">
        <v>5280</v>
      </c>
      <c r="J152" s="5" t="inlineStr">
        <is>
          <t>Andrés Martínez</t>
        </is>
      </c>
    </row>
    <row r="153">
      <c r="A153" s="14" t="n">
        <v>150</v>
      </c>
      <c r="B153" s="6" t="n">
        <v>138</v>
      </c>
      <c r="C153" s="5" t="inlineStr">
        <is>
          <t>Mariana Cárdenas Ospina</t>
        </is>
      </c>
      <c r="D153" s="9" t="inlineStr">
        <is>
          <t>T5 · AZUL</t>
        </is>
      </c>
      <c r="E153" s="5" t="inlineStr">
        <is>
          <t>DOLOR LEVE / MALESTAR GENERAL</t>
        </is>
      </c>
      <c r="F153" s="6" t="n">
        <v>13</v>
      </c>
      <c r="G153" s="6" t="inlineStr">
        <is>
          <t>Menor de edad</t>
        </is>
      </c>
      <c r="H153" s="6" t="n">
        <v>15</v>
      </c>
      <c r="I153" s="6" t="n">
        <v>5290</v>
      </c>
      <c r="J153" s="5" t="inlineStr">
        <is>
          <t>Laura Gómez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DASHBOARD GENERAL — SIMULACIÓN HORAS PICO URGENCIAS</t>
        </is>
      </c>
    </row>
    <row r="3">
      <c r="A3" s="15" t="inlineStr">
        <is>
          <t>KPIs GLOBALES</t>
        </is>
      </c>
      <c r="F3" s="15" t="inlineStr">
        <is>
          <t>DISTRIBUCIÓN POR TRIAGE</t>
        </is>
      </c>
    </row>
    <row r="4">
      <c r="A4" s="16" t="inlineStr">
        <is>
          <t>Total pacientes</t>
        </is>
      </c>
      <c r="B4" s="17" t="n">
        <v>150</v>
      </c>
      <c r="F4" s="3" t="inlineStr">
        <is>
          <t>NIVEL TRIAGE</t>
        </is>
      </c>
      <c r="G4" s="3" t="inlineStr">
        <is>
          <t>N° PACIENTES</t>
        </is>
      </c>
      <c r="H4" s="3" t="inlineStr">
        <is>
          <t>% DEL TOTAL</t>
        </is>
      </c>
      <c r="I4" s="3" t="inlineStr">
        <is>
          <t>T. ATENC. PROM.</t>
        </is>
      </c>
      <c r="J4" s="3" t="inlineStr">
        <is>
          <t>T. ESPERA PROM.</t>
        </is>
      </c>
    </row>
    <row r="5">
      <c r="A5" s="16" t="inlineStr">
        <is>
          <t>T. espera prom. (min)</t>
        </is>
      </c>
      <c r="B5" s="17" t="n">
        <v>63.9</v>
      </c>
      <c r="F5" s="11" t="inlineStr">
        <is>
          <t>T1 · ROJO</t>
        </is>
      </c>
      <c r="G5" s="6" t="n">
        <v>21</v>
      </c>
      <c r="H5" s="6" t="inlineStr">
        <is>
          <t>14.0%</t>
        </is>
      </c>
      <c r="I5" s="6" t="inlineStr">
        <is>
          <t>77.1 min</t>
        </is>
      </c>
      <c r="J5" s="6" t="inlineStr">
        <is>
          <t>60.4 min</t>
        </is>
      </c>
    </row>
    <row r="6">
      <c r="A6" s="16" t="inlineStr">
        <is>
          <t>T. atención prom. (min)</t>
        </is>
      </c>
      <c r="B6" s="17" t="n">
        <v>35.4</v>
      </c>
      <c r="F6" s="8" t="inlineStr">
        <is>
          <t>T2 · NARANJA</t>
        </is>
      </c>
      <c r="G6" s="6" t="n">
        <v>26</v>
      </c>
      <c r="H6" s="6" t="inlineStr">
        <is>
          <t>17.3%</t>
        </is>
      </c>
      <c r="I6" s="6" t="inlineStr">
        <is>
          <t>47.7 min</t>
        </is>
      </c>
      <c r="J6" s="6" t="inlineStr">
        <is>
          <t>67.2 min</t>
        </is>
      </c>
    </row>
    <row r="7">
      <c r="A7" s="16" t="inlineStr">
        <is>
          <t>T. total prom. (min)</t>
        </is>
      </c>
      <c r="B7" s="17" t="n">
        <v>99.3</v>
      </c>
      <c r="F7" s="7" t="inlineStr">
        <is>
          <t>T3 · AMARILLO</t>
        </is>
      </c>
      <c r="G7" s="6" t="n">
        <v>38</v>
      </c>
      <c r="H7" s="6" t="inlineStr">
        <is>
          <t>25.3%</t>
        </is>
      </c>
      <c r="I7" s="6" t="inlineStr">
        <is>
          <t>31.6 min</t>
        </is>
      </c>
      <c r="J7" s="6" t="inlineStr">
        <is>
          <t>59.2 min</t>
        </is>
      </c>
    </row>
    <row r="8">
      <c r="A8" s="16" t="inlineStr">
        <is>
          <t>T. espera máx (min)</t>
        </is>
      </c>
      <c r="B8" s="17" t="n">
        <v>120</v>
      </c>
      <c r="F8" s="10" t="inlineStr">
        <is>
          <t>T4 · VERDE</t>
        </is>
      </c>
      <c r="G8" s="6" t="n">
        <v>43</v>
      </c>
      <c r="H8" s="6" t="inlineStr">
        <is>
          <t>28.7%</t>
        </is>
      </c>
      <c r="I8" s="6" t="inlineStr">
        <is>
          <t>22.4 min</t>
        </is>
      </c>
      <c r="J8" s="6" t="inlineStr">
        <is>
          <t>64.6 min</t>
        </is>
      </c>
    </row>
    <row r="9">
      <c r="A9" s="16" t="inlineStr">
        <is>
          <t>T. total máx (min)</t>
        </is>
      </c>
      <c r="B9" s="17" t="n">
        <v>203</v>
      </c>
      <c r="F9" s="9" t="inlineStr">
        <is>
          <t>T5 · AZUL</t>
        </is>
      </c>
      <c r="G9" s="6" t="n">
        <v>22</v>
      </c>
      <c r="H9" s="6" t="inlineStr">
        <is>
          <t>14.7%</t>
        </is>
      </c>
      <c r="I9" s="6" t="inlineStr">
        <is>
          <t>12.7 min</t>
        </is>
      </c>
      <c r="J9" s="6" t="inlineStr">
        <is>
          <t>70.0 min</t>
        </is>
      </c>
    </row>
    <row r="10">
      <c r="A10" s="16" t="inlineStr">
        <is>
          <t>Pacientes T1 críticos</t>
        </is>
      </c>
      <c r="B10" s="17" t="n">
        <v>21</v>
      </c>
    </row>
    <row r="11">
      <c r="A11" s="16" t="inlineStr">
        <is>
          <t>Doctores en turno</t>
        </is>
      </c>
      <c r="B11" s="17" t="n">
        <v>5</v>
      </c>
    </row>
    <row r="12">
      <c r="A12" s="15" t="inlineStr">
        <is>
          <t>CARGA POR DOCTOR</t>
        </is>
      </c>
    </row>
    <row r="13">
      <c r="A13" s="3" t="inlineStr">
        <is>
          <t>ID</t>
        </is>
      </c>
      <c r="B13" s="3" t="inlineStr">
        <is>
          <t>NOMBRE</t>
        </is>
      </c>
      <c r="C13" s="3" t="inlineStr">
        <is>
          <t>ESPECIALIDAD</t>
        </is>
      </c>
      <c r="D13" s="3" t="inlineStr">
        <is>
          <t>N° PACIENTES</t>
        </is>
      </c>
      <c r="E13" s="3" t="inlineStr">
        <is>
          <t>T. TOTAL CARGA (min)</t>
        </is>
      </c>
    </row>
    <row r="14">
      <c r="A14" s="18" t="inlineStr">
        <is>
          <t>MED001</t>
        </is>
      </c>
      <c r="B14" s="19" t="inlineStr">
        <is>
          <t>Carlos Ramírez</t>
        </is>
      </c>
      <c r="C14" s="19" t="inlineStr">
        <is>
          <t>Medicina de Emergencias</t>
        </is>
      </c>
      <c r="D14" s="20" t="n">
        <v>38</v>
      </c>
      <c r="E14" s="18" t="n">
        <v>1380</v>
      </c>
    </row>
    <row r="15">
      <c r="A15" s="21" t="inlineStr">
        <is>
          <t>MED002</t>
        </is>
      </c>
      <c r="B15" s="22" t="inlineStr">
        <is>
          <t>Laura Gómez</t>
        </is>
      </c>
      <c r="C15" s="22" t="inlineStr">
        <is>
          <t>Cirugía General</t>
        </is>
      </c>
      <c r="D15" s="14" t="n">
        <v>32</v>
      </c>
      <c r="E15" s="21" t="n">
        <v>1070</v>
      </c>
    </row>
    <row r="16">
      <c r="A16" s="18" t="inlineStr">
        <is>
          <t>MED003</t>
        </is>
      </c>
      <c r="B16" s="19" t="inlineStr">
        <is>
          <t>Andrés Martínez</t>
        </is>
      </c>
      <c r="C16" s="19" t="inlineStr">
        <is>
          <t>Cardiología</t>
        </is>
      </c>
      <c r="D16" s="20" t="n">
        <v>28</v>
      </c>
      <c r="E16" s="18" t="n">
        <v>1125</v>
      </c>
    </row>
    <row r="17">
      <c r="A17" s="21" t="inlineStr">
        <is>
          <t>MED004</t>
        </is>
      </c>
      <c r="B17" s="22" t="inlineStr">
        <is>
          <t>Sofía Torres</t>
        </is>
      </c>
      <c r="C17" s="22" t="inlineStr">
        <is>
          <t>Neurología</t>
        </is>
      </c>
      <c r="D17" s="14" t="n">
        <v>23</v>
      </c>
      <c r="E17" s="21" t="n">
        <v>780</v>
      </c>
    </row>
    <row r="18">
      <c r="A18" s="18" t="inlineStr">
        <is>
          <t>MED005</t>
        </is>
      </c>
      <c r="B18" s="19" t="inlineStr">
        <is>
          <t>Felipe Herrera</t>
        </is>
      </c>
      <c r="C18" s="19" t="inlineStr">
        <is>
          <t>Traumatología</t>
        </is>
      </c>
      <c r="D18" s="20" t="n">
        <v>29</v>
      </c>
      <c r="E18" s="18" t="n">
        <v>950</v>
      </c>
    </row>
    <row r="19">
      <c r="A19" s="23" t="inlineStr">
        <is>
          <t>NIVEL</t>
        </is>
      </c>
      <c r="B19" s="23" t="inlineStr">
        <is>
          <t>CANT</t>
        </is>
      </c>
    </row>
    <row r="20">
      <c r="A20" t="inlineStr">
        <is>
          <t>T1 · ROJO</t>
        </is>
      </c>
      <c r="B20" t="n">
        <v>21</v>
      </c>
    </row>
    <row r="21">
      <c r="A21" t="inlineStr">
        <is>
          <t>T2 · NARANJA</t>
        </is>
      </c>
      <c r="B21" t="n">
        <v>26</v>
      </c>
    </row>
    <row r="22">
      <c r="A22" t="inlineStr">
        <is>
          <t>T3 · AMARILLO</t>
        </is>
      </c>
      <c r="B22" t="n">
        <v>38</v>
      </c>
    </row>
    <row r="23">
      <c r="A23" t="inlineStr">
        <is>
          <t>T4 · VERDE</t>
        </is>
      </c>
      <c r="B23" t="n">
        <v>43</v>
      </c>
    </row>
    <row r="24">
      <c r="A24" t="inlineStr">
        <is>
          <t>T5 · AZUL</t>
        </is>
      </c>
      <c r="B24" t="n">
        <v>22</v>
      </c>
    </row>
    <row r="27">
      <c r="A27" s="23" t="inlineStr">
        <is>
          <t>DOCTOR</t>
        </is>
      </c>
      <c r="B27" s="23" t="inlineStr">
        <is>
          <t>PACIENTES</t>
        </is>
      </c>
    </row>
    <row r="28">
      <c r="A28" t="inlineStr">
        <is>
          <t>Carlos</t>
        </is>
      </c>
      <c r="B28" t="n">
        <v>38</v>
      </c>
    </row>
    <row r="29">
      <c r="A29" t="inlineStr">
        <is>
          <t>Laura</t>
        </is>
      </c>
      <c r="B29" t="n">
        <v>32</v>
      </c>
    </row>
    <row r="30">
      <c r="A30" t="inlineStr">
        <is>
          <t>Andrés</t>
        </is>
      </c>
      <c r="B30" t="n">
        <v>28</v>
      </c>
    </row>
    <row r="31">
      <c r="A31" t="inlineStr">
        <is>
          <t>Sofía</t>
        </is>
      </c>
      <c r="B31" t="n">
        <v>23</v>
      </c>
    </row>
    <row r="32">
      <c r="A32" t="inlineStr">
        <is>
          <t>Felipe</t>
        </is>
      </c>
      <c r="B32" t="n">
        <v>29</v>
      </c>
    </row>
  </sheetData>
  <mergeCells count="4">
    <mergeCell ref="A1:J1"/>
    <mergeCell ref="A12:E12"/>
    <mergeCell ref="F3:J3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4" customWidth="1" min="5" max="5"/>
    <col width="6" customWidth="1" min="6" max="6"/>
    <col width="14" customWidth="1" min="7" max="7"/>
    <col width="10" customWidth="1" min="8" max="8"/>
    <col width="14" customWidth="1" min="9" max="9"/>
    <col width="15" customWidth="1" min="10" max="10"/>
    <col width="12" customWidth="1" min="11" max="11"/>
    <col width="24" customWidth="1" min="12" max="12"/>
  </cols>
  <sheetData>
    <row r="1">
      <c r="A1" s="12" t="inlineStr">
        <is>
          <t>DASHBOARD POR PACIENTE — TIEMPOS Y PRIORIDAD EN COLA</t>
        </is>
      </c>
    </row>
    <row r="2">
      <c r="A2" s="2" t="inlineStr">
        <is>
          <t>Cada fila = un paciente con sus métricas de atención. Coloreado por nivel de triage.</t>
        </is>
      </c>
    </row>
    <row r="3">
      <c r="A3" s="3" t="inlineStr">
        <is>
          <t>POS. COLA</t>
        </is>
      </c>
      <c r="B3" s="3" t="inlineStr">
        <is>
          <t>N° TURNO</t>
        </is>
      </c>
      <c r="C3" s="3" t="inlineStr">
        <is>
          <t>NOMBRE</t>
        </is>
      </c>
      <c r="D3" s="3" t="inlineStr">
        <is>
          <t>TRIAGE</t>
        </is>
      </c>
      <c r="E3" s="3" t="inlineStr">
        <is>
          <t>TIPO EMERGENCIA</t>
        </is>
      </c>
      <c r="F3" s="3" t="inlineStr">
        <is>
          <t>EDAD</t>
        </is>
      </c>
      <c r="G3" s="3" t="inlineStr">
        <is>
          <t>GRUPO EDAD</t>
        </is>
      </c>
      <c r="H3" s="3" t="inlineStr">
        <is>
          <t>HORA REG.</t>
        </is>
      </c>
      <c r="I3" s="3" t="inlineStr">
        <is>
          <t>T. ESPERA (min)</t>
        </is>
      </c>
      <c r="J3" s="3" t="inlineStr">
        <is>
          <t>T. ATENCIÓN (min)</t>
        </is>
      </c>
      <c r="K3" s="3" t="inlineStr">
        <is>
          <t>T. TOTAL (min)</t>
        </is>
      </c>
      <c r="L3" s="3" t="inlineStr">
        <is>
          <t>DOCTOR</t>
        </is>
      </c>
    </row>
    <row r="4">
      <c r="A4" s="11" t="n">
        <v>1</v>
      </c>
      <c r="B4" s="24" t="n">
        <v>119</v>
      </c>
      <c r="C4" s="25" t="inlineStr">
        <is>
          <t>Camila Moreno Ospina</t>
        </is>
      </c>
      <c r="D4" s="11" t="inlineStr">
        <is>
          <t>T1 · ROJO</t>
        </is>
      </c>
      <c r="E4" s="25" t="inlineStr">
        <is>
          <t>PARO CARDIORESPIESTARIO</t>
        </is>
      </c>
      <c r="F4" s="24" t="n">
        <v>0</v>
      </c>
      <c r="G4" s="24" t="inlineStr">
        <is>
          <t>Neonato</t>
        </is>
      </c>
      <c r="H4" s="24" t="inlineStr">
        <is>
          <t>07:52:00</t>
        </is>
      </c>
      <c r="I4" s="24" t="n">
        <v>0</v>
      </c>
      <c r="J4" s="24" t="n">
        <v>60</v>
      </c>
      <c r="K4" s="26" t="n">
        <v>60</v>
      </c>
      <c r="L4" s="25" t="inlineStr">
        <is>
          <t>Andrés Martínez</t>
        </is>
      </c>
    </row>
    <row r="5">
      <c r="A5" s="11" t="n">
        <v>2</v>
      </c>
      <c r="B5" s="21" t="n">
        <v>35</v>
      </c>
      <c r="C5" s="22" t="inlineStr">
        <is>
          <t>Juan Medina Sánchez</t>
        </is>
      </c>
      <c r="D5" s="11" t="inlineStr">
        <is>
          <t>T1 · ROJO</t>
        </is>
      </c>
      <c r="E5" s="22" t="inlineStr">
        <is>
          <t>POLITRAUMATISMO GRAVE</t>
        </is>
      </c>
      <c r="F5" s="21" t="n">
        <v>78</v>
      </c>
      <c r="G5" s="21" t="inlineStr">
        <is>
          <t>Anciano</t>
        </is>
      </c>
      <c r="H5" s="21" t="inlineStr">
        <is>
          <t>09:42:00</t>
        </is>
      </c>
      <c r="I5" s="21" t="n">
        <v>60</v>
      </c>
      <c r="J5" s="21" t="n">
        <v>90</v>
      </c>
      <c r="K5" s="27" t="n">
        <v>150</v>
      </c>
      <c r="L5" s="22" t="inlineStr">
        <is>
          <t>Carlos Ramírez</t>
        </is>
      </c>
    </row>
    <row r="6">
      <c r="A6" s="11" t="n">
        <v>3</v>
      </c>
      <c r="B6" s="24" t="n">
        <v>147</v>
      </c>
      <c r="C6" s="25" t="inlineStr">
        <is>
          <t>Ricardo Gómez Bernal</t>
        </is>
      </c>
      <c r="D6" s="11" t="inlineStr">
        <is>
          <t>T1 · ROJO</t>
        </is>
      </c>
      <c r="E6" s="25" t="inlineStr">
        <is>
          <t>POLITRAUMATISMO GRAVE</t>
        </is>
      </c>
      <c r="F6" s="24" t="n">
        <v>76</v>
      </c>
      <c r="G6" s="24" t="inlineStr">
        <is>
          <t>Anciano</t>
        </is>
      </c>
      <c r="H6" s="24" t="inlineStr">
        <is>
          <t>13:24:00</t>
        </is>
      </c>
      <c r="I6" s="24" t="n">
        <v>150</v>
      </c>
      <c r="J6" s="24" t="n">
        <v>90</v>
      </c>
      <c r="K6" s="27" t="n">
        <v>240</v>
      </c>
      <c r="L6" s="25" t="inlineStr">
        <is>
          <t>Carlos Ramírez</t>
        </is>
      </c>
    </row>
    <row r="7">
      <c r="A7" s="11" t="n">
        <v>4</v>
      </c>
      <c r="B7" s="21" t="n">
        <v>81</v>
      </c>
      <c r="C7" s="22" t="inlineStr">
        <is>
          <t>Ricardo López Cruz</t>
        </is>
      </c>
      <c r="D7" s="11" t="inlineStr">
        <is>
          <t>T1 · ROJO</t>
        </is>
      </c>
      <c r="E7" s="22" t="inlineStr">
        <is>
          <t>POLITRAUMATISMO GRAVE</t>
        </is>
      </c>
      <c r="F7" s="21" t="n">
        <v>78</v>
      </c>
      <c r="G7" s="21" t="inlineStr">
        <is>
          <t>Anciano</t>
        </is>
      </c>
      <c r="H7" s="21" t="inlineStr">
        <is>
          <t>14:32:00</t>
        </is>
      </c>
      <c r="I7" s="21" t="n">
        <v>240</v>
      </c>
      <c r="J7" s="21" t="n">
        <v>90</v>
      </c>
      <c r="K7" s="27" t="n">
        <v>330</v>
      </c>
      <c r="L7" s="22" t="inlineStr">
        <is>
          <t>Felipe Herrera</t>
        </is>
      </c>
    </row>
    <row r="8">
      <c r="A8" s="11" t="n">
        <v>5</v>
      </c>
      <c r="B8" s="24" t="n">
        <v>45</v>
      </c>
      <c r="C8" s="25" t="inlineStr">
        <is>
          <t>Luis López Medina</t>
        </is>
      </c>
      <c r="D8" s="11" t="inlineStr">
        <is>
          <t>T1 · ROJO</t>
        </is>
      </c>
      <c r="E8" s="25" t="inlineStr">
        <is>
          <t>PARO CARDIORESPIESTARIO</t>
        </is>
      </c>
      <c r="F8" s="24" t="n">
        <v>0</v>
      </c>
      <c r="G8" s="24" t="inlineStr">
        <is>
          <t>Neonato</t>
        </is>
      </c>
      <c r="H8" s="24" t="inlineStr">
        <is>
          <t>16:12:00</t>
        </is>
      </c>
      <c r="I8" s="24" t="n">
        <v>330</v>
      </c>
      <c r="J8" s="24" t="n">
        <v>60</v>
      </c>
      <c r="K8" s="27" t="n">
        <v>390</v>
      </c>
      <c r="L8" s="25" t="inlineStr">
        <is>
          <t>Andrés Martínez</t>
        </is>
      </c>
    </row>
    <row r="9">
      <c r="A9" s="11" t="n">
        <v>6</v>
      </c>
      <c r="B9" s="21" t="n">
        <v>113</v>
      </c>
      <c r="C9" s="22" t="inlineStr">
        <is>
          <t>Alejandro Reyes Ramírez</t>
        </is>
      </c>
      <c r="D9" s="11" t="inlineStr">
        <is>
          <t>T1 · ROJO</t>
        </is>
      </c>
      <c r="E9" s="22" t="inlineStr">
        <is>
          <t>PARO CARDIORESPIESTARIO</t>
        </is>
      </c>
      <c r="F9" s="21" t="n">
        <v>89</v>
      </c>
      <c r="G9" s="21" t="inlineStr">
        <is>
          <t>Anciano</t>
        </is>
      </c>
      <c r="H9" s="21" t="inlineStr">
        <is>
          <t>16:13:00</t>
        </is>
      </c>
      <c r="I9" s="21" t="n">
        <v>390</v>
      </c>
      <c r="J9" s="21" t="n">
        <v>60</v>
      </c>
      <c r="K9" s="27" t="n">
        <v>450</v>
      </c>
      <c r="L9" s="22" t="inlineStr">
        <is>
          <t>Laura Gómez</t>
        </is>
      </c>
    </row>
    <row r="10">
      <c r="A10" s="11" t="n">
        <v>7</v>
      </c>
      <c r="B10" s="24" t="n">
        <v>94</v>
      </c>
      <c r="C10" s="25" t="inlineStr">
        <is>
          <t>Natalia Sánchez Moreno</t>
        </is>
      </c>
      <c r="D10" s="11" t="inlineStr">
        <is>
          <t>T1 · ROJO</t>
        </is>
      </c>
      <c r="E10" s="25" t="inlineStr">
        <is>
          <t>PARO CARDIORESPIESTARIO</t>
        </is>
      </c>
      <c r="F10" s="24" t="n">
        <v>0</v>
      </c>
      <c r="G10" s="24" t="inlineStr">
        <is>
          <t>Neonato</t>
        </is>
      </c>
      <c r="H10" s="24" t="inlineStr">
        <is>
          <t>18:01:00</t>
        </is>
      </c>
      <c r="I10" s="24" t="n">
        <v>450</v>
      </c>
      <c r="J10" s="24" t="n">
        <v>60</v>
      </c>
      <c r="K10" s="27" t="n">
        <v>510</v>
      </c>
      <c r="L10" s="25" t="inlineStr">
        <is>
          <t>Felipe Herrera</t>
        </is>
      </c>
    </row>
    <row r="11">
      <c r="A11" s="11" t="n">
        <v>8</v>
      </c>
      <c r="B11" s="21" t="n">
        <v>139</v>
      </c>
      <c r="C11" s="22" t="inlineStr">
        <is>
          <t>Mariana Ríos Cárdenas</t>
        </is>
      </c>
      <c r="D11" s="11" t="inlineStr">
        <is>
          <t>T1 · ROJO</t>
        </is>
      </c>
      <c r="E11" s="22" t="inlineStr">
        <is>
          <t>POLITRAUMATISMO GRAVE</t>
        </is>
      </c>
      <c r="F11" s="21" t="n">
        <v>61</v>
      </c>
      <c r="G11" s="21" t="inlineStr">
        <is>
          <t>Adulto mayor</t>
        </is>
      </c>
      <c r="H11" s="21" t="inlineStr">
        <is>
          <t>09:05:00</t>
        </is>
      </c>
      <c r="I11" s="21" t="n">
        <v>510</v>
      </c>
      <c r="J11" s="21" t="n">
        <v>90</v>
      </c>
      <c r="K11" s="27" t="n">
        <v>600</v>
      </c>
      <c r="L11" s="22" t="inlineStr">
        <is>
          <t>Laura Gómez</t>
        </is>
      </c>
    </row>
    <row r="12">
      <c r="A12" s="11" t="n">
        <v>9</v>
      </c>
      <c r="B12" s="24" t="n">
        <v>3</v>
      </c>
      <c r="C12" s="25" t="inlineStr">
        <is>
          <t>María Torres Muñoz</t>
        </is>
      </c>
      <c r="D12" s="11" t="inlineStr">
        <is>
          <t>T1 · ROJO</t>
        </is>
      </c>
      <c r="E12" s="25" t="inlineStr">
        <is>
          <t>POLITRAUMATISMO GRAVE</t>
        </is>
      </c>
      <c r="F12" s="24" t="n">
        <v>66</v>
      </c>
      <c r="G12" s="24" t="inlineStr">
        <is>
          <t>Adulto mayor</t>
        </is>
      </c>
      <c r="H12" s="24" t="inlineStr">
        <is>
          <t>09:35:00</t>
        </is>
      </c>
      <c r="I12" s="24" t="n">
        <v>600</v>
      </c>
      <c r="J12" s="24" t="n">
        <v>90</v>
      </c>
      <c r="K12" s="27" t="n">
        <v>690</v>
      </c>
      <c r="L12" s="25" t="inlineStr">
        <is>
          <t>Carlos Ramírez</t>
        </is>
      </c>
    </row>
    <row r="13">
      <c r="A13" s="11" t="n">
        <v>10</v>
      </c>
      <c r="B13" s="21" t="n">
        <v>144</v>
      </c>
      <c r="C13" s="22" t="inlineStr">
        <is>
          <t>Mariana Rodríguez Alvarado</t>
        </is>
      </c>
      <c r="D13" s="11" t="inlineStr">
        <is>
          <t>T1 · ROJO</t>
        </is>
      </c>
      <c r="E13" s="22" t="inlineStr">
        <is>
          <t>POLITRAUMATISMO GRAVE</t>
        </is>
      </c>
      <c r="F13" s="21" t="n">
        <v>61</v>
      </c>
      <c r="G13" s="21" t="inlineStr">
        <is>
          <t>Adulto mayor</t>
        </is>
      </c>
      <c r="H13" s="21" t="inlineStr">
        <is>
          <t>17:41:00</t>
        </is>
      </c>
      <c r="I13" s="21" t="n">
        <v>690</v>
      </c>
      <c r="J13" s="21" t="n">
        <v>90</v>
      </c>
      <c r="K13" s="27" t="n">
        <v>780</v>
      </c>
      <c r="L13" s="22" t="inlineStr">
        <is>
          <t>Andrés Martínez</t>
        </is>
      </c>
    </row>
    <row r="14">
      <c r="A14" s="11" t="n">
        <v>11</v>
      </c>
      <c r="B14" s="24" t="n">
        <v>49</v>
      </c>
      <c r="C14" s="25" t="inlineStr">
        <is>
          <t>Luis Herrera Vargas</t>
        </is>
      </c>
      <c r="D14" s="11" t="inlineStr">
        <is>
          <t>T1 · ROJO</t>
        </is>
      </c>
      <c r="E14" s="25" t="inlineStr">
        <is>
          <t>POLITRAUMATISMO GRAVE</t>
        </is>
      </c>
      <c r="F14" s="24" t="n">
        <v>68</v>
      </c>
      <c r="G14" s="24" t="inlineStr">
        <is>
          <t>Adulto mayor</t>
        </is>
      </c>
      <c r="H14" s="24" t="inlineStr">
        <is>
          <t>19:00:00</t>
        </is>
      </c>
      <c r="I14" s="24" t="n">
        <v>780</v>
      </c>
      <c r="J14" s="24" t="n">
        <v>90</v>
      </c>
      <c r="K14" s="27" t="n">
        <v>870</v>
      </c>
      <c r="L14" s="25" t="inlineStr">
        <is>
          <t>Andrés Martínez</t>
        </is>
      </c>
    </row>
    <row r="15">
      <c r="A15" s="11" t="n">
        <v>12</v>
      </c>
      <c r="B15" s="21" t="n">
        <v>7</v>
      </c>
      <c r="C15" s="22" t="inlineStr">
        <is>
          <t>Daniela Gómez Ramírez</t>
        </is>
      </c>
      <c r="D15" s="11" t="inlineStr">
        <is>
          <t>T1 · ROJO</t>
        </is>
      </c>
      <c r="E15" s="22" t="inlineStr">
        <is>
          <t>PARO CARDIORESPIESTARIO</t>
        </is>
      </c>
      <c r="F15" s="21" t="n">
        <v>74</v>
      </c>
      <c r="G15" s="21" t="inlineStr">
        <is>
          <t>Adulto mayor</t>
        </is>
      </c>
      <c r="H15" s="21" t="inlineStr">
        <is>
          <t>19:45:00</t>
        </is>
      </c>
      <c r="I15" s="21" t="n">
        <v>870</v>
      </c>
      <c r="J15" s="21" t="n">
        <v>60</v>
      </c>
      <c r="K15" s="27" t="n">
        <v>930</v>
      </c>
      <c r="L15" s="22" t="inlineStr">
        <is>
          <t>Carlos Ramírez</t>
        </is>
      </c>
    </row>
    <row r="16">
      <c r="A16" s="11" t="n">
        <v>13</v>
      </c>
      <c r="B16" s="24" t="n">
        <v>148</v>
      </c>
      <c r="C16" s="25" t="inlineStr">
        <is>
          <t>Carlos Reyes Díaz</t>
        </is>
      </c>
      <c r="D16" s="11" t="inlineStr">
        <is>
          <t>T1 · ROJO</t>
        </is>
      </c>
      <c r="E16" s="25" t="inlineStr">
        <is>
          <t>PARO CARDIORESPIESTARIO</t>
        </is>
      </c>
      <c r="F16" s="24" t="n">
        <v>30</v>
      </c>
      <c r="G16" s="24" t="inlineStr">
        <is>
          <t>Adulto</t>
        </is>
      </c>
      <c r="H16" s="24" t="inlineStr">
        <is>
          <t>13:03:00</t>
        </is>
      </c>
      <c r="I16" s="24" t="n">
        <v>930</v>
      </c>
      <c r="J16" s="24" t="n">
        <v>60</v>
      </c>
      <c r="K16" s="27" t="n">
        <v>990</v>
      </c>
      <c r="L16" s="25" t="inlineStr">
        <is>
          <t>Laura Gómez</t>
        </is>
      </c>
    </row>
    <row r="17">
      <c r="A17" s="11" t="n">
        <v>14</v>
      </c>
      <c r="B17" s="21" t="n">
        <v>58</v>
      </c>
      <c r="C17" s="22" t="inlineStr">
        <is>
          <t>Laura Herrera Torres</t>
        </is>
      </c>
      <c r="D17" s="11" t="inlineStr">
        <is>
          <t>T1 · ROJO</t>
        </is>
      </c>
      <c r="E17" s="22" t="inlineStr">
        <is>
          <t>PARO CARDIORESPIESTARIO</t>
        </is>
      </c>
      <c r="F17" s="21" t="n">
        <v>51</v>
      </c>
      <c r="G17" s="21" t="inlineStr">
        <is>
          <t>Adulto</t>
        </is>
      </c>
      <c r="H17" s="21" t="inlineStr">
        <is>
          <t>13:45:00</t>
        </is>
      </c>
      <c r="I17" s="21" t="n">
        <v>990</v>
      </c>
      <c r="J17" s="21" t="n">
        <v>60</v>
      </c>
      <c r="K17" s="27" t="n">
        <v>1050</v>
      </c>
      <c r="L17" s="22" t="inlineStr">
        <is>
          <t>Sofía Torres</t>
        </is>
      </c>
    </row>
    <row r="18">
      <c r="A18" s="11" t="n">
        <v>15</v>
      </c>
      <c r="B18" s="24" t="n">
        <v>39</v>
      </c>
      <c r="C18" s="25" t="inlineStr">
        <is>
          <t>Natalia López Rodríguez</t>
        </is>
      </c>
      <c r="D18" s="11" t="inlineStr">
        <is>
          <t>T1 · ROJO</t>
        </is>
      </c>
      <c r="E18" s="25" t="inlineStr">
        <is>
          <t>POLITRAUMATISMO GRAVE</t>
        </is>
      </c>
      <c r="F18" s="24" t="n">
        <v>45</v>
      </c>
      <c r="G18" s="24" t="inlineStr">
        <is>
          <t>Adulto</t>
        </is>
      </c>
      <c r="H18" s="24" t="inlineStr">
        <is>
          <t>14:31:00</t>
        </is>
      </c>
      <c r="I18" s="24" t="n">
        <v>1050</v>
      </c>
      <c r="J18" s="24" t="n">
        <v>90</v>
      </c>
      <c r="K18" s="27" t="n">
        <v>1140</v>
      </c>
      <c r="L18" s="25" t="inlineStr">
        <is>
          <t>Carlos Ramírez</t>
        </is>
      </c>
    </row>
    <row r="19">
      <c r="A19" s="11" t="n">
        <v>16</v>
      </c>
      <c r="B19" s="21" t="n">
        <v>50</v>
      </c>
      <c r="C19" s="22" t="inlineStr">
        <is>
          <t>Valentina Cárdenas Vargas</t>
        </is>
      </c>
      <c r="D19" s="11" t="inlineStr">
        <is>
          <t>T1 · ROJO</t>
        </is>
      </c>
      <c r="E19" s="22" t="inlineStr">
        <is>
          <t>PARO CARDIORESPIESTARIO</t>
        </is>
      </c>
      <c r="F19" s="21" t="n">
        <v>32</v>
      </c>
      <c r="G19" s="21" t="inlineStr">
        <is>
          <t>Adulto</t>
        </is>
      </c>
      <c r="H19" s="21" t="inlineStr">
        <is>
          <t>15:32:00</t>
        </is>
      </c>
      <c r="I19" s="21" t="n">
        <v>1140</v>
      </c>
      <c r="J19" s="21" t="n">
        <v>60</v>
      </c>
      <c r="K19" s="27" t="n">
        <v>1200</v>
      </c>
      <c r="L19" s="22" t="inlineStr">
        <is>
          <t>Andrés Martínez</t>
        </is>
      </c>
    </row>
    <row r="20">
      <c r="A20" s="11" t="n">
        <v>17</v>
      </c>
      <c r="B20" s="24" t="n">
        <v>100</v>
      </c>
      <c r="C20" s="25" t="inlineStr">
        <is>
          <t>Ricardo Bernal Reyes</t>
        </is>
      </c>
      <c r="D20" s="11" t="inlineStr">
        <is>
          <t>T1 · ROJO</t>
        </is>
      </c>
      <c r="E20" s="25" t="inlineStr">
        <is>
          <t>POLITRAUMATISMO GRAVE</t>
        </is>
      </c>
      <c r="F20" s="24" t="n">
        <v>42</v>
      </c>
      <c r="G20" s="24" t="inlineStr">
        <is>
          <t>Adulto</t>
        </is>
      </c>
      <c r="H20" s="24" t="inlineStr">
        <is>
          <t>15:32:00</t>
        </is>
      </c>
      <c r="I20" s="24" t="n">
        <v>1200</v>
      </c>
      <c r="J20" s="24" t="n">
        <v>90</v>
      </c>
      <c r="K20" s="27" t="n">
        <v>1290</v>
      </c>
      <c r="L20" s="25" t="inlineStr">
        <is>
          <t>Sofía Torres</t>
        </is>
      </c>
    </row>
    <row r="21">
      <c r="A21" s="11" t="n">
        <v>18</v>
      </c>
      <c r="B21" s="21" t="n">
        <v>126</v>
      </c>
      <c r="C21" s="22" t="inlineStr">
        <is>
          <t>Carlos Pardo Cárdenas</t>
        </is>
      </c>
      <c r="D21" s="11" t="inlineStr">
        <is>
          <t>T1 · ROJO</t>
        </is>
      </c>
      <c r="E21" s="22" t="inlineStr">
        <is>
          <t>POLITRAUMATISMO GRAVE</t>
        </is>
      </c>
      <c r="F21" s="21" t="n">
        <v>49</v>
      </c>
      <c r="G21" s="21" t="inlineStr">
        <is>
          <t>Adulto</t>
        </is>
      </c>
      <c r="H21" s="21" t="inlineStr">
        <is>
          <t>15:50:00</t>
        </is>
      </c>
      <c r="I21" s="21" t="n">
        <v>1290</v>
      </c>
      <c r="J21" s="21" t="n">
        <v>90</v>
      </c>
      <c r="K21" s="27" t="n">
        <v>1380</v>
      </c>
      <c r="L21" s="22" t="inlineStr">
        <is>
          <t>Sofía Torres</t>
        </is>
      </c>
    </row>
    <row r="22">
      <c r="A22" s="11" t="n">
        <v>19</v>
      </c>
      <c r="B22" s="24" t="n">
        <v>54</v>
      </c>
      <c r="C22" s="25" t="inlineStr">
        <is>
          <t>Daniel Jiménez Vargas</t>
        </is>
      </c>
      <c r="D22" s="11" t="inlineStr">
        <is>
          <t>T1 · ROJO</t>
        </is>
      </c>
      <c r="E22" s="25" t="inlineStr">
        <is>
          <t>POLITRAUMATISMO GRAVE</t>
        </is>
      </c>
      <c r="F22" s="24" t="n">
        <v>38</v>
      </c>
      <c r="G22" s="24" t="inlineStr">
        <is>
          <t>Adulto</t>
        </is>
      </c>
      <c r="H22" s="24" t="inlineStr">
        <is>
          <t>16:23:00</t>
        </is>
      </c>
      <c r="I22" s="24" t="n">
        <v>1380</v>
      </c>
      <c r="J22" s="24" t="n">
        <v>90</v>
      </c>
      <c r="K22" s="27" t="n">
        <v>1470</v>
      </c>
      <c r="L22" s="25" t="inlineStr">
        <is>
          <t>Andrés Martínez</t>
        </is>
      </c>
    </row>
    <row r="23">
      <c r="A23" s="11" t="n">
        <v>20</v>
      </c>
      <c r="B23" s="21" t="n">
        <v>103</v>
      </c>
      <c r="C23" s="22" t="inlineStr">
        <is>
          <t>Fernanda Bernal Cárdenas</t>
        </is>
      </c>
      <c r="D23" s="11" t="inlineStr">
        <is>
          <t>T1 · ROJO</t>
        </is>
      </c>
      <c r="E23" s="22" t="inlineStr">
        <is>
          <t>PARO CARDIORESPIESTARIO</t>
        </is>
      </c>
      <c r="F23" s="21" t="n">
        <v>29</v>
      </c>
      <c r="G23" s="21" t="inlineStr">
        <is>
          <t>Adulto</t>
        </is>
      </c>
      <c r="H23" s="21" t="inlineStr">
        <is>
          <t>18:45:00</t>
        </is>
      </c>
      <c r="I23" s="21" t="n">
        <v>1470</v>
      </c>
      <c r="J23" s="21" t="n">
        <v>60</v>
      </c>
      <c r="K23" s="27" t="n">
        <v>1530</v>
      </c>
      <c r="L23" s="22" t="inlineStr">
        <is>
          <t>Andrés Martínez</t>
        </is>
      </c>
    </row>
    <row r="24">
      <c r="A24" s="11" t="n">
        <v>21</v>
      </c>
      <c r="B24" s="24" t="n">
        <v>32</v>
      </c>
      <c r="C24" s="25" t="inlineStr">
        <is>
          <t>Daniela Gómez Cárdenas</t>
        </is>
      </c>
      <c r="D24" s="11" t="inlineStr">
        <is>
          <t>T1 · ROJO</t>
        </is>
      </c>
      <c r="E24" s="25" t="inlineStr">
        <is>
          <t>POLITRAUMATISMO GRAVE</t>
        </is>
      </c>
      <c r="F24" s="24" t="n">
        <v>41</v>
      </c>
      <c r="G24" s="24" t="inlineStr">
        <is>
          <t>Adulto</t>
        </is>
      </c>
      <c r="H24" s="24" t="inlineStr">
        <is>
          <t>19:50:00</t>
        </is>
      </c>
      <c r="I24" s="24" t="n">
        <v>1530</v>
      </c>
      <c r="J24" s="24" t="n">
        <v>90</v>
      </c>
      <c r="K24" s="27" t="n">
        <v>1620</v>
      </c>
      <c r="L24" s="25" t="inlineStr">
        <is>
          <t>Andrés Martínez</t>
        </is>
      </c>
    </row>
    <row r="25">
      <c r="A25" s="8" t="n">
        <v>22</v>
      </c>
      <c r="B25" s="21" t="n">
        <v>70</v>
      </c>
      <c r="C25" s="22" t="inlineStr">
        <is>
          <t>Carlos Muñoz Ramírez</t>
        </is>
      </c>
      <c r="D25" s="8" t="inlineStr">
        <is>
          <t>T2 · NARANJA</t>
        </is>
      </c>
      <c r="E25" s="22" t="inlineStr">
        <is>
          <t>ACV / DERRAME CEREBRAL</t>
        </is>
      </c>
      <c r="F25" s="21" t="n">
        <v>0</v>
      </c>
      <c r="G25" s="21" t="inlineStr">
        <is>
          <t>Neonato</t>
        </is>
      </c>
      <c r="H25" s="21" t="inlineStr">
        <is>
          <t>12:23:00</t>
        </is>
      </c>
      <c r="I25" s="21" t="n">
        <v>1620</v>
      </c>
      <c r="J25" s="21" t="n">
        <v>50</v>
      </c>
      <c r="K25" s="27" t="n">
        <v>1670</v>
      </c>
      <c r="L25" s="22" t="inlineStr">
        <is>
          <t>Carlos Ramírez</t>
        </is>
      </c>
    </row>
    <row r="26">
      <c r="A26" s="8" t="n">
        <v>23</v>
      </c>
      <c r="B26" s="24" t="n">
        <v>16</v>
      </c>
      <c r="C26" s="25" t="inlineStr">
        <is>
          <t>Luis Vargas Bernal</t>
        </is>
      </c>
      <c r="D26" s="8" t="inlineStr">
        <is>
          <t>T2 · NARANJA</t>
        </is>
      </c>
      <c r="E26" s="25" t="inlineStr">
        <is>
          <t>DIFICULTAD RESPIRATORIA SEVERA</t>
        </is>
      </c>
      <c r="F26" s="24" t="n">
        <v>76</v>
      </c>
      <c r="G26" s="24" t="inlineStr">
        <is>
          <t>Anciano</t>
        </is>
      </c>
      <c r="H26" s="24" t="inlineStr">
        <is>
          <t>13:42:00</t>
        </is>
      </c>
      <c r="I26" s="24" t="n">
        <v>1670</v>
      </c>
      <c r="J26" s="24" t="n">
        <v>45</v>
      </c>
      <c r="K26" s="27" t="n">
        <v>1715</v>
      </c>
      <c r="L26" s="25" t="inlineStr">
        <is>
          <t>Felipe Herrera</t>
        </is>
      </c>
    </row>
    <row r="27">
      <c r="A27" s="8" t="n">
        <v>24</v>
      </c>
      <c r="B27" s="21" t="n">
        <v>82</v>
      </c>
      <c r="C27" s="22" t="inlineStr">
        <is>
          <t>Fernanda Pardo Castro</t>
        </is>
      </c>
      <c r="D27" s="8" t="inlineStr">
        <is>
          <t>T2 · NARANJA</t>
        </is>
      </c>
      <c r="E27" s="22" t="inlineStr">
        <is>
          <t>ACV / DERRAME CEREBRAL</t>
        </is>
      </c>
      <c r="F27" s="21" t="n">
        <v>0</v>
      </c>
      <c r="G27" s="21" t="inlineStr">
        <is>
          <t>Neonato</t>
        </is>
      </c>
      <c r="H27" s="21" t="inlineStr">
        <is>
          <t>14:27:00</t>
        </is>
      </c>
      <c r="I27" s="21" t="n">
        <v>1715</v>
      </c>
      <c r="J27" s="21" t="n">
        <v>50</v>
      </c>
      <c r="K27" s="27" t="n">
        <v>1765</v>
      </c>
      <c r="L27" s="22" t="inlineStr">
        <is>
          <t>Carlos Ramírez</t>
        </is>
      </c>
    </row>
    <row r="28">
      <c r="A28" s="8" t="n">
        <v>25</v>
      </c>
      <c r="B28" s="24" t="n">
        <v>52</v>
      </c>
      <c r="C28" s="25" t="inlineStr">
        <is>
          <t>Daniela Martínez Pardo</t>
        </is>
      </c>
      <c r="D28" s="8" t="inlineStr">
        <is>
          <t>T2 · NARANJA</t>
        </is>
      </c>
      <c r="E28" s="25" t="inlineStr">
        <is>
          <t>ACV / DERRAME CEREBRAL</t>
        </is>
      </c>
      <c r="F28" s="24" t="n">
        <v>82</v>
      </c>
      <c r="G28" s="24" t="inlineStr">
        <is>
          <t>Anciano</t>
        </is>
      </c>
      <c r="H28" s="24" t="inlineStr">
        <is>
          <t>14:52:00</t>
        </is>
      </c>
      <c r="I28" s="24" t="n">
        <v>1765</v>
      </c>
      <c r="J28" s="24" t="n">
        <v>50</v>
      </c>
      <c r="K28" s="27" t="n">
        <v>1815</v>
      </c>
      <c r="L28" s="25" t="inlineStr">
        <is>
          <t>Carlos Ramírez</t>
        </is>
      </c>
    </row>
    <row r="29">
      <c r="A29" s="8" t="n">
        <v>26</v>
      </c>
      <c r="B29" s="21" t="n">
        <v>150</v>
      </c>
      <c r="C29" s="22" t="inlineStr">
        <is>
          <t>Nicolás Cruz Cárdenas</t>
        </is>
      </c>
      <c r="D29" s="8" t="inlineStr">
        <is>
          <t>T2 · NARANJA</t>
        </is>
      </c>
      <c r="E29" s="22" t="inlineStr">
        <is>
          <t>ACV / DERRAME CEREBRAL</t>
        </is>
      </c>
      <c r="F29" s="21" t="n">
        <v>1</v>
      </c>
      <c r="G29" s="21" t="inlineStr">
        <is>
          <t>Neonato</t>
        </is>
      </c>
      <c r="H29" s="21" t="inlineStr">
        <is>
          <t>17:28:00</t>
        </is>
      </c>
      <c r="I29" s="21" t="n">
        <v>1815</v>
      </c>
      <c r="J29" s="21" t="n">
        <v>50</v>
      </c>
      <c r="K29" s="27" t="n">
        <v>1865</v>
      </c>
      <c r="L29" s="22" t="inlineStr">
        <is>
          <t>Carlos Ramírez</t>
        </is>
      </c>
    </row>
    <row r="30">
      <c r="A30" s="8" t="n">
        <v>27</v>
      </c>
      <c r="B30" s="24" t="n">
        <v>66</v>
      </c>
      <c r="C30" s="25" t="inlineStr">
        <is>
          <t>Fernanda Castro Ospina</t>
        </is>
      </c>
      <c r="D30" s="8" t="inlineStr">
        <is>
          <t>T2 · NARANJA</t>
        </is>
      </c>
      <c r="E30" s="25" t="inlineStr">
        <is>
          <t>ACV / DERRAME CEREBRAL</t>
        </is>
      </c>
      <c r="F30" s="24" t="n">
        <v>80</v>
      </c>
      <c r="G30" s="24" t="inlineStr">
        <is>
          <t>Anciano</t>
        </is>
      </c>
      <c r="H30" s="24" t="inlineStr">
        <is>
          <t>17:52:00</t>
        </is>
      </c>
      <c r="I30" s="24" t="n">
        <v>1865</v>
      </c>
      <c r="J30" s="24" t="n">
        <v>50</v>
      </c>
      <c r="K30" s="27" t="n">
        <v>1915</v>
      </c>
      <c r="L30" s="25" t="inlineStr">
        <is>
          <t>Laura Gómez</t>
        </is>
      </c>
    </row>
    <row r="31">
      <c r="A31" s="8" t="n">
        <v>28</v>
      </c>
      <c r="B31" s="21" t="n">
        <v>80</v>
      </c>
      <c r="C31" s="22" t="inlineStr">
        <is>
          <t>Natalia Díaz Muñoz</t>
        </is>
      </c>
      <c r="D31" s="8" t="inlineStr">
        <is>
          <t>T2 · NARANJA</t>
        </is>
      </c>
      <c r="E31" s="22" t="inlineStr">
        <is>
          <t>DIFICULTAD RESPIRATORIA SEVERA</t>
        </is>
      </c>
      <c r="F31" s="21" t="n">
        <v>75</v>
      </c>
      <c r="G31" s="21" t="inlineStr">
        <is>
          <t>Anciano</t>
        </is>
      </c>
      <c r="H31" s="21" t="inlineStr">
        <is>
          <t>18:17:00</t>
        </is>
      </c>
      <c r="I31" s="21" t="n">
        <v>1915</v>
      </c>
      <c r="J31" s="21" t="n">
        <v>45</v>
      </c>
      <c r="K31" s="27" t="n">
        <v>1960</v>
      </c>
      <c r="L31" s="22" t="inlineStr">
        <is>
          <t>Carlos Ramírez</t>
        </is>
      </c>
    </row>
    <row r="32">
      <c r="A32" s="8" t="n">
        <v>29</v>
      </c>
      <c r="B32" s="24" t="n">
        <v>110</v>
      </c>
      <c r="C32" s="25" t="inlineStr">
        <is>
          <t>Andrés Martínez Bernal</t>
        </is>
      </c>
      <c r="D32" s="8" t="inlineStr">
        <is>
          <t>T2 · NARANJA</t>
        </is>
      </c>
      <c r="E32" s="25" t="inlineStr">
        <is>
          <t>ACV / DERRAME CEREBRAL</t>
        </is>
      </c>
      <c r="F32" s="24" t="n">
        <v>81</v>
      </c>
      <c r="G32" s="24" t="inlineStr">
        <is>
          <t>Anciano</t>
        </is>
      </c>
      <c r="H32" s="24" t="inlineStr">
        <is>
          <t>18:33:00</t>
        </is>
      </c>
      <c r="I32" s="24" t="n">
        <v>1960</v>
      </c>
      <c r="J32" s="24" t="n">
        <v>50</v>
      </c>
      <c r="K32" s="27" t="n">
        <v>2010</v>
      </c>
      <c r="L32" s="25" t="inlineStr">
        <is>
          <t>Laura Gómez</t>
        </is>
      </c>
    </row>
    <row r="33">
      <c r="A33" s="8" t="n">
        <v>30</v>
      </c>
      <c r="B33" s="21" t="n">
        <v>11</v>
      </c>
      <c r="C33" s="22" t="inlineStr">
        <is>
          <t>Miguel Gómez Cárdenas</t>
        </is>
      </c>
      <c r="D33" s="8" t="inlineStr">
        <is>
          <t>T2 · NARANJA</t>
        </is>
      </c>
      <c r="E33" s="22" t="inlineStr">
        <is>
          <t>ACV / DERRAME CEREBRAL</t>
        </is>
      </c>
      <c r="F33" s="21" t="n">
        <v>5</v>
      </c>
      <c r="G33" s="21" t="inlineStr">
        <is>
          <t>Infante</t>
        </is>
      </c>
      <c r="H33" s="21" t="inlineStr">
        <is>
          <t>12:41:00</t>
        </is>
      </c>
      <c r="I33" s="21" t="n">
        <v>2010</v>
      </c>
      <c r="J33" s="21" t="n">
        <v>50</v>
      </c>
      <c r="K33" s="27" t="n">
        <v>2060</v>
      </c>
      <c r="L33" s="22" t="inlineStr">
        <is>
          <t>Felipe Herrera</t>
        </is>
      </c>
    </row>
    <row r="34">
      <c r="A34" s="8" t="n">
        <v>31</v>
      </c>
      <c r="B34" s="24" t="n">
        <v>8</v>
      </c>
      <c r="C34" s="25" t="inlineStr">
        <is>
          <t>Claudia Morales Torres</t>
        </is>
      </c>
      <c r="D34" s="8" t="inlineStr">
        <is>
          <t>T2 · NARANJA</t>
        </is>
      </c>
      <c r="E34" s="25" t="inlineStr">
        <is>
          <t>DIFICULTAD RESPIRATORIA SEVERA</t>
        </is>
      </c>
      <c r="F34" s="24" t="n">
        <v>62</v>
      </c>
      <c r="G34" s="24" t="inlineStr">
        <is>
          <t>Adulto mayor</t>
        </is>
      </c>
      <c r="H34" s="24" t="inlineStr">
        <is>
          <t>08:25:00</t>
        </is>
      </c>
      <c r="I34" s="24" t="n">
        <v>2060</v>
      </c>
      <c r="J34" s="24" t="n">
        <v>45</v>
      </c>
      <c r="K34" s="27" t="n">
        <v>2105</v>
      </c>
      <c r="L34" s="25" t="inlineStr">
        <is>
          <t>Felipe Herrera</t>
        </is>
      </c>
    </row>
    <row r="35">
      <c r="A35" s="8" t="n">
        <v>32</v>
      </c>
      <c r="B35" s="21" t="n">
        <v>116</v>
      </c>
      <c r="C35" s="22" t="inlineStr">
        <is>
          <t>Laura Castro Martínez</t>
        </is>
      </c>
      <c r="D35" s="8" t="inlineStr">
        <is>
          <t>T2 · NARANJA</t>
        </is>
      </c>
      <c r="E35" s="22" t="inlineStr">
        <is>
          <t>DIFICULTAD RESPIRATORIA SEVERA</t>
        </is>
      </c>
      <c r="F35" s="21" t="n">
        <v>68</v>
      </c>
      <c r="G35" s="21" t="inlineStr">
        <is>
          <t>Adulto mayor</t>
        </is>
      </c>
      <c r="H35" s="21" t="inlineStr">
        <is>
          <t>12:14:00</t>
        </is>
      </c>
      <c r="I35" s="21" t="n">
        <v>2105</v>
      </c>
      <c r="J35" s="21" t="n">
        <v>45</v>
      </c>
      <c r="K35" s="27" t="n">
        <v>2150</v>
      </c>
      <c r="L35" s="22" t="inlineStr">
        <is>
          <t>Sofía Torres</t>
        </is>
      </c>
    </row>
    <row r="36">
      <c r="A36" s="8" t="n">
        <v>33</v>
      </c>
      <c r="B36" s="24" t="n">
        <v>72</v>
      </c>
      <c r="C36" s="25" t="inlineStr">
        <is>
          <t>Camila Castro Bernal</t>
        </is>
      </c>
      <c r="D36" s="8" t="inlineStr">
        <is>
          <t>T2 · NARANJA</t>
        </is>
      </c>
      <c r="E36" s="25" t="inlineStr">
        <is>
          <t>DIFICULTAD RESPIRATORIA SEVERA</t>
        </is>
      </c>
      <c r="F36" s="24" t="n">
        <v>73</v>
      </c>
      <c r="G36" s="24" t="inlineStr">
        <is>
          <t>Adulto mayor</t>
        </is>
      </c>
      <c r="H36" s="24" t="inlineStr">
        <is>
          <t>12:52:00</t>
        </is>
      </c>
      <c r="I36" s="24" t="n">
        <v>2150</v>
      </c>
      <c r="J36" s="24" t="n">
        <v>45</v>
      </c>
      <c r="K36" s="27" t="n">
        <v>2195</v>
      </c>
      <c r="L36" s="25" t="inlineStr">
        <is>
          <t>Felipe Herrera</t>
        </is>
      </c>
    </row>
    <row r="37">
      <c r="A37" s="8" t="n">
        <v>34</v>
      </c>
      <c r="B37" s="21" t="n">
        <v>91</v>
      </c>
      <c r="C37" s="22" t="inlineStr">
        <is>
          <t>Fernanda Reyes Pardo</t>
        </is>
      </c>
      <c r="D37" s="8" t="inlineStr">
        <is>
          <t>T2 · NARANJA</t>
        </is>
      </c>
      <c r="E37" s="22" t="inlineStr">
        <is>
          <t>DIFICULTAD RESPIRATORIA SEVERA</t>
        </is>
      </c>
      <c r="F37" s="21" t="n">
        <v>74</v>
      </c>
      <c r="G37" s="21" t="inlineStr">
        <is>
          <t>Adulto mayor</t>
        </is>
      </c>
      <c r="H37" s="21" t="inlineStr">
        <is>
          <t>14:06:00</t>
        </is>
      </c>
      <c r="I37" s="21" t="n">
        <v>2195</v>
      </c>
      <c r="J37" s="21" t="n">
        <v>45</v>
      </c>
      <c r="K37" s="27" t="n">
        <v>2240</v>
      </c>
      <c r="L37" s="22" t="inlineStr">
        <is>
          <t>Laura Gómez</t>
        </is>
      </c>
    </row>
    <row r="38">
      <c r="A38" s="8" t="n">
        <v>35</v>
      </c>
      <c r="B38" s="24" t="n">
        <v>53</v>
      </c>
      <c r="C38" s="25" t="inlineStr">
        <is>
          <t>Camilo Gómez Ospina</t>
        </is>
      </c>
      <c r="D38" s="8" t="inlineStr">
        <is>
          <t>T2 · NARANJA</t>
        </is>
      </c>
      <c r="E38" s="25" t="inlineStr">
        <is>
          <t>DIFICULTAD RESPIRATORIA SEVERA</t>
        </is>
      </c>
      <c r="F38" s="24" t="n">
        <v>60</v>
      </c>
      <c r="G38" s="24" t="inlineStr">
        <is>
          <t>Adulto mayor</t>
        </is>
      </c>
      <c r="H38" s="24" t="inlineStr">
        <is>
          <t>14:57:00</t>
        </is>
      </c>
      <c r="I38" s="24" t="n">
        <v>2240</v>
      </c>
      <c r="J38" s="24" t="n">
        <v>45</v>
      </c>
      <c r="K38" s="27" t="n">
        <v>2285</v>
      </c>
      <c r="L38" s="25" t="inlineStr">
        <is>
          <t>Laura Gómez</t>
        </is>
      </c>
    </row>
    <row r="39">
      <c r="A39" s="8" t="n">
        <v>36</v>
      </c>
      <c r="B39" s="21" t="n">
        <v>30</v>
      </c>
      <c r="C39" s="22" t="inlineStr">
        <is>
          <t>Paula Bernal Alvarado</t>
        </is>
      </c>
      <c r="D39" s="8" t="inlineStr">
        <is>
          <t>T2 · NARANJA</t>
        </is>
      </c>
      <c r="E39" s="22" t="inlineStr">
        <is>
          <t>DIFICULTAD RESPIRATORIA SEVERA</t>
        </is>
      </c>
      <c r="F39" s="21" t="n">
        <v>60</v>
      </c>
      <c r="G39" s="21" t="inlineStr">
        <is>
          <t>Adulto mayor</t>
        </is>
      </c>
      <c r="H39" s="21" t="inlineStr">
        <is>
          <t>15:13:00</t>
        </is>
      </c>
      <c r="I39" s="21" t="n">
        <v>2285</v>
      </c>
      <c r="J39" s="21" t="n">
        <v>45</v>
      </c>
      <c r="K39" s="27" t="n">
        <v>2330</v>
      </c>
      <c r="L39" s="22" t="inlineStr">
        <is>
          <t>Carlos Ramírez</t>
        </is>
      </c>
    </row>
    <row r="40">
      <c r="A40" s="8" t="n">
        <v>37</v>
      </c>
      <c r="B40" s="24" t="n">
        <v>15</v>
      </c>
      <c r="C40" s="25" t="inlineStr">
        <is>
          <t>Camilo Díaz Sánchez</t>
        </is>
      </c>
      <c r="D40" s="8" t="inlineStr">
        <is>
          <t>T2 · NARANJA</t>
        </is>
      </c>
      <c r="E40" s="25" t="inlineStr">
        <is>
          <t>ACV / DERRAME CEREBRAL</t>
        </is>
      </c>
      <c r="F40" s="24" t="n">
        <v>63</v>
      </c>
      <c r="G40" s="24" t="inlineStr">
        <is>
          <t>Adulto mayor</t>
        </is>
      </c>
      <c r="H40" s="24" t="inlineStr">
        <is>
          <t>15:56:00</t>
        </is>
      </c>
      <c r="I40" s="24" t="n">
        <v>2330</v>
      </c>
      <c r="J40" s="24" t="n">
        <v>50</v>
      </c>
      <c r="K40" s="27" t="n">
        <v>2380</v>
      </c>
      <c r="L40" s="25" t="inlineStr">
        <is>
          <t>Carlos Ramírez</t>
        </is>
      </c>
    </row>
    <row r="41">
      <c r="A41" s="8" t="n">
        <v>38</v>
      </c>
      <c r="B41" s="21" t="n">
        <v>79</v>
      </c>
      <c r="C41" s="22" t="inlineStr">
        <is>
          <t>Isabella Cruz Jiménez</t>
        </is>
      </c>
      <c r="D41" s="8" t="inlineStr">
        <is>
          <t>T2 · NARANJA</t>
        </is>
      </c>
      <c r="E41" s="22" t="inlineStr">
        <is>
          <t>ACV / DERRAME CEREBRAL</t>
        </is>
      </c>
      <c r="F41" s="21" t="n">
        <v>61</v>
      </c>
      <c r="G41" s="21" t="inlineStr">
        <is>
          <t>Adulto mayor</t>
        </is>
      </c>
      <c r="H41" s="21" t="inlineStr">
        <is>
          <t>19:37:00</t>
        </is>
      </c>
      <c r="I41" s="21" t="n">
        <v>2380</v>
      </c>
      <c r="J41" s="21" t="n">
        <v>50</v>
      </c>
      <c r="K41" s="27" t="n">
        <v>2430</v>
      </c>
      <c r="L41" s="22" t="inlineStr">
        <is>
          <t>Sofía Torres</t>
        </is>
      </c>
    </row>
    <row r="42">
      <c r="A42" s="8" t="n">
        <v>39</v>
      </c>
      <c r="B42" s="24" t="n">
        <v>29</v>
      </c>
      <c r="C42" s="25" t="inlineStr">
        <is>
          <t>Nicolás Alvarado Castro</t>
        </is>
      </c>
      <c r="D42" s="8" t="inlineStr">
        <is>
          <t>T2 · NARANJA</t>
        </is>
      </c>
      <c r="E42" s="25" t="inlineStr">
        <is>
          <t>ACV / DERRAME CEREBRAL</t>
        </is>
      </c>
      <c r="F42" s="24" t="n">
        <v>71</v>
      </c>
      <c r="G42" s="24" t="inlineStr">
        <is>
          <t>Adulto mayor</t>
        </is>
      </c>
      <c r="H42" s="24" t="inlineStr">
        <is>
          <t>19:57:00</t>
        </is>
      </c>
      <c r="I42" s="24" t="n">
        <v>2430</v>
      </c>
      <c r="J42" s="24" t="n">
        <v>50</v>
      </c>
      <c r="K42" s="27" t="n">
        <v>2480</v>
      </c>
      <c r="L42" s="25" t="inlineStr">
        <is>
          <t>Andrés Martínez</t>
        </is>
      </c>
    </row>
    <row r="43">
      <c r="A43" s="8" t="n">
        <v>40</v>
      </c>
      <c r="B43" s="21" t="n">
        <v>132</v>
      </c>
      <c r="C43" s="22" t="inlineStr">
        <is>
          <t>Juan Jiménez Ospina</t>
        </is>
      </c>
      <c r="D43" s="8" t="inlineStr">
        <is>
          <t>T2 · NARANJA</t>
        </is>
      </c>
      <c r="E43" s="22" t="inlineStr">
        <is>
          <t>ACV / DERRAME CEREBRAL</t>
        </is>
      </c>
      <c r="F43" s="21" t="n">
        <v>18</v>
      </c>
      <c r="G43" s="21" t="inlineStr">
        <is>
          <t>Adulto</t>
        </is>
      </c>
      <c r="H43" s="21" t="inlineStr">
        <is>
          <t>07:09:00</t>
        </is>
      </c>
      <c r="I43" s="21" t="n">
        <v>2480</v>
      </c>
      <c r="J43" s="21" t="n">
        <v>50</v>
      </c>
      <c r="K43" s="27" t="n">
        <v>2530</v>
      </c>
      <c r="L43" s="22" t="inlineStr">
        <is>
          <t>Laura Gómez</t>
        </is>
      </c>
    </row>
    <row r="44">
      <c r="A44" s="8" t="n">
        <v>41</v>
      </c>
      <c r="B44" s="24" t="n">
        <v>68</v>
      </c>
      <c r="C44" s="25" t="inlineStr">
        <is>
          <t>Daniela Sánchez Muñoz</t>
        </is>
      </c>
      <c r="D44" s="8" t="inlineStr">
        <is>
          <t>T2 · NARANJA</t>
        </is>
      </c>
      <c r="E44" s="25" t="inlineStr">
        <is>
          <t>DIFICULTAD RESPIRATORIA SEVERA</t>
        </is>
      </c>
      <c r="F44" s="24" t="n">
        <v>45</v>
      </c>
      <c r="G44" s="24" t="inlineStr">
        <is>
          <t>Adulto</t>
        </is>
      </c>
      <c r="H44" s="24" t="inlineStr">
        <is>
          <t>07:26:00</t>
        </is>
      </c>
      <c r="I44" s="24" t="n">
        <v>2530</v>
      </c>
      <c r="J44" s="24" t="n">
        <v>45</v>
      </c>
      <c r="K44" s="27" t="n">
        <v>2575</v>
      </c>
      <c r="L44" s="25" t="inlineStr">
        <is>
          <t>Laura Gómez</t>
        </is>
      </c>
    </row>
    <row r="45">
      <c r="A45" s="8" t="n">
        <v>42</v>
      </c>
      <c r="B45" s="21" t="n">
        <v>77</v>
      </c>
      <c r="C45" s="22" t="inlineStr">
        <is>
          <t>Sebastián Gómez Pardo</t>
        </is>
      </c>
      <c r="D45" s="8" t="inlineStr">
        <is>
          <t>T2 · NARANJA</t>
        </is>
      </c>
      <c r="E45" s="22" t="inlineStr">
        <is>
          <t>DIFICULTAD RESPIRATORIA SEVERA</t>
        </is>
      </c>
      <c r="F45" s="21" t="n">
        <v>36</v>
      </c>
      <c r="G45" s="21" t="inlineStr">
        <is>
          <t>Adulto</t>
        </is>
      </c>
      <c r="H45" s="21" t="inlineStr">
        <is>
          <t>12:34:00</t>
        </is>
      </c>
      <c r="I45" s="21" t="n">
        <v>2575</v>
      </c>
      <c r="J45" s="21" t="n">
        <v>45</v>
      </c>
      <c r="K45" s="27" t="n">
        <v>2620</v>
      </c>
      <c r="L45" s="22" t="inlineStr">
        <is>
          <t>Felipe Herrera</t>
        </is>
      </c>
    </row>
    <row r="46">
      <c r="A46" s="8" t="n">
        <v>43</v>
      </c>
      <c r="B46" s="24" t="n">
        <v>123</v>
      </c>
      <c r="C46" s="25" t="inlineStr">
        <is>
          <t>Daniel López Medina</t>
        </is>
      </c>
      <c r="D46" s="8" t="inlineStr">
        <is>
          <t>T2 · NARANJA</t>
        </is>
      </c>
      <c r="E46" s="25" t="inlineStr">
        <is>
          <t>ACV / DERRAME CEREBRAL</t>
        </is>
      </c>
      <c r="F46" s="24" t="n">
        <v>13</v>
      </c>
      <c r="G46" s="24" t="inlineStr">
        <is>
          <t>Menor de edad</t>
        </is>
      </c>
      <c r="H46" s="24" t="inlineStr">
        <is>
          <t>14:22:00</t>
        </is>
      </c>
      <c r="I46" s="24" t="n">
        <v>2620</v>
      </c>
      <c r="J46" s="24" t="n">
        <v>50</v>
      </c>
      <c r="K46" s="27" t="n">
        <v>2670</v>
      </c>
      <c r="L46" s="25" t="inlineStr">
        <is>
          <t>Felipe Herrera</t>
        </is>
      </c>
    </row>
    <row r="47">
      <c r="A47" s="8" t="n">
        <v>44</v>
      </c>
      <c r="B47" s="21" t="n">
        <v>117</v>
      </c>
      <c r="C47" s="22" t="inlineStr">
        <is>
          <t>Carlos Cruz García</t>
        </is>
      </c>
      <c r="D47" s="8" t="inlineStr">
        <is>
          <t>T2 · NARANJA</t>
        </is>
      </c>
      <c r="E47" s="22" t="inlineStr">
        <is>
          <t>ACV / DERRAME CEREBRAL</t>
        </is>
      </c>
      <c r="F47" s="21" t="n">
        <v>46</v>
      </c>
      <c r="G47" s="21" t="inlineStr">
        <is>
          <t>Adulto</t>
        </is>
      </c>
      <c r="H47" s="21" t="inlineStr">
        <is>
          <t>15:19:00</t>
        </is>
      </c>
      <c r="I47" s="21" t="n">
        <v>2670</v>
      </c>
      <c r="J47" s="21" t="n">
        <v>50</v>
      </c>
      <c r="K47" s="27" t="n">
        <v>2720</v>
      </c>
      <c r="L47" s="22" t="inlineStr">
        <is>
          <t>Carlos Ramírez</t>
        </is>
      </c>
    </row>
    <row r="48">
      <c r="A48" s="8" t="n">
        <v>45</v>
      </c>
      <c r="B48" s="24" t="n">
        <v>22</v>
      </c>
      <c r="C48" s="25" t="inlineStr">
        <is>
          <t>Sofía López Ospina</t>
        </is>
      </c>
      <c r="D48" s="8" t="inlineStr">
        <is>
          <t>T2 · NARANJA</t>
        </is>
      </c>
      <c r="E48" s="25" t="inlineStr">
        <is>
          <t>DIFICULTAD RESPIRATORIA SEVERA</t>
        </is>
      </c>
      <c r="F48" s="24" t="n">
        <v>49</v>
      </c>
      <c r="G48" s="24" t="inlineStr">
        <is>
          <t>Adulto</t>
        </is>
      </c>
      <c r="H48" s="24" t="inlineStr">
        <is>
          <t>16:04:00</t>
        </is>
      </c>
      <c r="I48" s="24" t="n">
        <v>2720</v>
      </c>
      <c r="J48" s="24" t="n">
        <v>45</v>
      </c>
      <c r="K48" s="27" t="n">
        <v>2765</v>
      </c>
      <c r="L48" s="25" t="inlineStr">
        <is>
          <t>Andrés Martínez</t>
        </is>
      </c>
    </row>
    <row r="49">
      <c r="A49" s="8" t="n">
        <v>46</v>
      </c>
      <c r="B49" s="21" t="n">
        <v>95</v>
      </c>
      <c r="C49" s="22" t="inlineStr">
        <is>
          <t>David Moreno Díaz</t>
        </is>
      </c>
      <c r="D49" s="8" t="inlineStr">
        <is>
          <t>T2 · NARANJA</t>
        </is>
      </c>
      <c r="E49" s="22" t="inlineStr">
        <is>
          <t>ACV / DERRAME CEREBRAL</t>
        </is>
      </c>
      <c r="F49" s="21" t="n">
        <v>20</v>
      </c>
      <c r="G49" s="21" t="inlineStr">
        <is>
          <t>Adulto</t>
        </is>
      </c>
      <c r="H49" s="21" t="inlineStr">
        <is>
          <t>17:27:00</t>
        </is>
      </c>
      <c r="I49" s="21" t="n">
        <v>2765</v>
      </c>
      <c r="J49" s="21" t="n">
        <v>50</v>
      </c>
      <c r="K49" s="27" t="n">
        <v>2815</v>
      </c>
      <c r="L49" s="22" t="inlineStr">
        <is>
          <t>Andrés Martínez</t>
        </is>
      </c>
    </row>
    <row r="50">
      <c r="A50" s="8" t="n">
        <v>47</v>
      </c>
      <c r="B50" s="24" t="n">
        <v>42</v>
      </c>
      <c r="C50" s="25" t="inlineStr">
        <is>
          <t>Miguel Medina Rodríguez</t>
        </is>
      </c>
      <c r="D50" s="8" t="inlineStr">
        <is>
          <t>T2 · NARANJA</t>
        </is>
      </c>
      <c r="E50" s="25" t="inlineStr">
        <is>
          <t>DIFICULTAD RESPIRATORIA SEVERA</t>
        </is>
      </c>
      <c r="F50" s="24" t="n">
        <v>22</v>
      </c>
      <c r="G50" s="24" t="inlineStr">
        <is>
          <t>Adulto</t>
        </is>
      </c>
      <c r="H50" s="24" t="inlineStr">
        <is>
          <t>18:27:00</t>
        </is>
      </c>
      <c r="I50" s="24" t="n">
        <v>2815</v>
      </c>
      <c r="J50" s="24" t="n">
        <v>45</v>
      </c>
      <c r="K50" s="27" t="n">
        <v>2860</v>
      </c>
      <c r="L50" s="25" t="inlineStr">
        <is>
          <t>Sofía Torres</t>
        </is>
      </c>
    </row>
    <row r="51">
      <c r="A51" s="7" t="n">
        <v>48</v>
      </c>
      <c r="B51" s="21" t="n">
        <v>136</v>
      </c>
      <c r="C51" s="22" t="inlineStr">
        <is>
          <t>Isabella Cruz Medina</t>
        </is>
      </c>
      <c r="D51" s="7" t="inlineStr">
        <is>
          <t>T3 · AMARILLO</t>
        </is>
      </c>
      <c r="E51" s="22" t="inlineStr">
        <is>
          <t>FRACTURA CON COMPROMISO VASCULAR</t>
        </is>
      </c>
      <c r="F51" s="21" t="n">
        <v>89</v>
      </c>
      <c r="G51" s="21" t="inlineStr">
        <is>
          <t>Anciano</t>
        </is>
      </c>
      <c r="H51" s="21" t="inlineStr">
        <is>
          <t>07:07:00</t>
        </is>
      </c>
      <c r="I51" s="21" t="n">
        <v>2860</v>
      </c>
      <c r="J51" s="21" t="n">
        <v>35</v>
      </c>
      <c r="K51" s="27" t="n">
        <v>2895</v>
      </c>
      <c r="L51" s="22" t="inlineStr">
        <is>
          <t>Felipe Herrera</t>
        </is>
      </c>
    </row>
    <row r="52">
      <c r="A52" s="7" t="n">
        <v>49</v>
      </c>
      <c r="B52" s="24" t="n">
        <v>65</v>
      </c>
      <c r="C52" s="25" t="inlineStr">
        <is>
          <t>Valentina Bernal Díaz</t>
        </is>
      </c>
      <c r="D52" s="7" t="inlineStr">
        <is>
          <t>T3 · AMARILLO</t>
        </is>
      </c>
      <c r="E52" s="25" t="inlineStr">
        <is>
          <t>DOLOR ABDOMINAL AGUDO</t>
        </is>
      </c>
      <c r="F52" s="24" t="n">
        <v>75</v>
      </c>
      <c r="G52" s="24" t="inlineStr">
        <is>
          <t>Anciano</t>
        </is>
      </c>
      <c r="H52" s="24" t="inlineStr">
        <is>
          <t>08:41:00</t>
        </is>
      </c>
      <c r="I52" s="24" t="n">
        <v>2895</v>
      </c>
      <c r="J52" s="24" t="n">
        <v>30</v>
      </c>
      <c r="K52" s="27" t="n">
        <v>2925</v>
      </c>
      <c r="L52" s="25" t="inlineStr">
        <is>
          <t>Laura Gómez</t>
        </is>
      </c>
    </row>
    <row r="53">
      <c r="A53" s="7" t="n">
        <v>50</v>
      </c>
      <c r="B53" s="21" t="n">
        <v>19</v>
      </c>
      <c r="C53" s="22" t="inlineStr">
        <is>
          <t>Alejandra Gómez Castro</t>
        </is>
      </c>
      <c r="D53" s="7" t="inlineStr">
        <is>
          <t>T3 · AMARILLO</t>
        </is>
      </c>
      <c r="E53" s="22" t="inlineStr">
        <is>
          <t>FRACTURA CON COMPROMISO VASCULAR</t>
        </is>
      </c>
      <c r="F53" s="21" t="n">
        <v>85</v>
      </c>
      <c r="G53" s="21" t="inlineStr">
        <is>
          <t>Anciano</t>
        </is>
      </c>
      <c r="H53" s="21" t="inlineStr">
        <is>
          <t>09:59:00</t>
        </is>
      </c>
      <c r="I53" s="21" t="n">
        <v>2925</v>
      </c>
      <c r="J53" s="21" t="n">
        <v>35</v>
      </c>
      <c r="K53" s="27" t="n">
        <v>2960</v>
      </c>
      <c r="L53" s="22" t="inlineStr">
        <is>
          <t>Sofía Torres</t>
        </is>
      </c>
    </row>
    <row r="54">
      <c r="A54" s="7" t="n">
        <v>51</v>
      </c>
      <c r="B54" s="24" t="n">
        <v>14</v>
      </c>
      <c r="C54" s="25" t="inlineStr">
        <is>
          <t>Ana Cárdenas Morales</t>
        </is>
      </c>
      <c r="D54" s="7" t="inlineStr">
        <is>
          <t>T3 · AMARILLO</t>
        </is>
      </c>
      <c r="E54" s="25" t="inlineStr">
        <is>
          <t>DOLOR ABDOMINAL AGUDO</t>
        </is>
      </c>
      <c r="F54" s="24" t="n">
        <v>1</v>
      </c>
      <c r="G54" s="24" t="inlineStr">
        <is>
          <t>Neonato</t>
        </is>
      </c>
      <c r="H54" s="24" t="inlineStr">
        <is>
          <t>11:15:00</t>
        </is>
      </c>
      <c r="I54" s="24" t="n">
        <v>2960</v>
      </c>
      <c r="J54" s="24" t="n">
        <v>30</v>
      </c>
      <c r="K54" s="27" t="n">
        <v>2990</v>
      </c>
      <c r="L54" s="25" t="inlineStr">
        <is>
          <t>Carlos Ramírez</t>
        </is>
      </c>
    </row>
    <row r="55">
      <c r="A55" s="7" t="n">
        <v>52</v>
      </c>
      <c r="B55" s="21" t="n">
        <v>40</v>
      </c>
      <c r="C55" s="22" t="inlineStr">
        <is>
          <t>Ana Herrera Gómez</t>
        </is>
      </c>
      <c r="D55" s="7" t="inlineStr">
        <is>
          <t>T3 · AMARILLO</t>
        </is>
      </c>
      <c r="E55" s="22" t="inlineStr">
        <is>
          <t>DOLOR ABDOMINAL AGUDO</t>
        </is>
      </c>
      <c r="F55" s="21" t="n">
        <v>88</v>
      </c>
      <c r="G55" s="21" t="inlineStr">
        <is>
          <t>Anciano</t>
        </is>
      </c>
      <c r="H55" s="21" t="inlineStr">
        <is>
          <t>13:14:00</t>
        </is>
      </c>
      <c r="I55" s="21" t="n">
        <v>2990</v>
      </c>
      <c r="J55" s="21" t="n">
        <v>30</v>
      </c>
      <c r="K55" s="27" t="n">
        <v>3020</v>
      </c>
      <c r="L55" s="22" t="inlineStr">
        <is>
          <t>Laura Gómez</t>
        </is>
      </c>
    </row>
    <row r="56">
      <c r="A56" s="7" t="n">
        <v>53</v>
      </c>
      <c r="B56" s="24" t="n">
        <v>90</v>
      </c>
      <c r="C56" s="25" t="inlineStr">
        <is>
          <t>Mariana López Sánchez</t>
        </is>
      </c>
      <c r="D56" s="7" t="inlineStr">
        <is>
          <t>T3 · AMARILLO</t>
        </is>
      </c>
      <c r="E56" s="25" t="inlineStr">
        <is>
          <t>DOLOR ABDOMINAL AGUDO</t>
        </is>
      </c>
      <c r="F56" s="24" t="n">
        <v>85</v>
      </c>
      <c r="G56" s="24" t="inlineStr">
        <is>
          <t>Anciano</t>
        </is>
      </c>
      <c r="H56" s="24" t="inlineStr">
        <is>
          <t>15:51:00</t>
        </is>
      </c>
      <c r="I56" s="24" t="n">
        <v>3020</v>
      </c>
      <c r="J56" s="24" t="n">
        <v>30</v>
      </c>
      <c r="K56" s="27" t="n">
        <v>3050</v>
      </c>
      <c r="L56" s="25" t="inlineStr">
        <is>
          <t>Andrés Martínez</t>
        </is>
      </c>
    </row>
    <row r="57">
      <c r="A57" s="7" t="n">
        <v>54</v>
      </c>
      <c r="B57" s="21" t="n">
        <v>102</v>
      </c>
      <c r="C57" s="22" t="inlineStr">
        <is>
          <t>Alejandro Torres Moreno</t>
        </is>
      </c>
      <c r="D57" s="7" t="inlineStr">
        <is>
          <t>T3 · AMARILLO</t>
        </is>
      </c>
      <c r="E57" s="22" t="inlineStr">
        <is>
          <t>DOLOR ABDOMINAL AGUDO</t>
        </is>
      </c>
      <c r="F57" s="21" t="n">
        <v>78</v>
      </c>
      <c r="G57" s="21" t="inlineStr">
        <is>
          <t>Anciano</t>
        </is>
      </c>
      <c r="H57" s="21" t="inlineStr">
        <is>
          <t>18:04:00</t>
        </is>
      </c>
      <c r="I57" s="21" t="n">
        <v>3050</v>
      </c>
      <c r="J57" s="21" t="n">
        <v>30</v>
      </c>
      <c r="K57" s="27" t="n">
        <v>3080</v>
      </c>
      <c r="L57" s="22" t="inlineStr">
        <is>
          <t>Carlos Ramírez</t>
        </is>
      </c>
    </row>
    <row r="58">
      <c r="A58" s="7" t="n">
        <v>55</v>
      </c>
      <c r="B58" s="24" t="n">
        <v>27</v>
      </c>
      <c r="C58" s="25" t="inlineStr">
        <is>
          <t>Luis Cárdenas Martínez</t>
        </is>
      </c>
      <c r="D58" s="7" t="inlineStr">
        <is>
          <t>T3 · AMARILLO</t>
        </is>
      </c>
      <c r="E58" s="25" t="inlineStr">
        <is>
          <t>DOLOR ABDOMINAL AGUDO</t>
        </is>
      </c>
      <c r="F58" s="24" t="n">
        <v>81</v>
      </c>
      <c r="G58" s="24" t="inlineStr">
        <is>
          <t>Anciano</t>
        </is>
      </c>
      <c r="H58" s="24" t="inlineStr">
        <is>
          <t>19:33:00</t>
        </is>
      </c>
      <c r="I58" s="24" t="n">
        <v>3080</v>
      </c>
      <c r="J58" s="24" t="n">
        <v>30</v>
      </c>
      <c r="K58" s="27" t="n">
        <v>3110</v>
      </c>
      <c r="L58" s="25" t="inlineStr">
        <is>
          <t>Sofía Torres</t>
        </is>
      </c>
    </row>
    <row r="59">
      <c r="A59" s="7" t="n">
        <v>56</v>
      </c>
      <c r="B59" s="21" t="n">
        <v>93</v>
      </c>
      <c r="C59" s="22" t="inlineStr">
        <is>
          <t>Nicolás López Herrera</t>
        </is>
      </c>
      <c r="D59" s="7" t="inlineStr">
        <is>
          <t>T3 · AMARILLO</t>
        </is>
      </c>
      <c r="E59" s="22" t="inlineStr">
        <is>
          <t>FRACTURA CON COMPROMISO VASCULAR</t>
        </is>
      </c>
      <c r="F59" s="21" t="n">
        <v>2</v>
      </c>
      <c r="G59" s="21" t="inlineStr">
        <is>
          <t>Infante</t>
        </is>
      </c>
      <c r="H59" s="21" t="inlineStr">
        <is>
          <t>08:31:00</t>
        </is>
      </c>
      <c r="I59" s="21" t="n">
        <v>3110</v>
      </c>
      <c r="J59" s="21" t="n">
        <v>35</v>
      </c>
      <c r="K59" s="27" t="n">
        <v>3145</v>
      </c>
      <c r="L59" s="22" t="inlineStr">
        <is>
          <t>Felipe Herrera</t>
        </is>
      </c>
    </row>
    <row r="60">
      <c r="A60" s="7" t="n">
        <v>57</v>
      </c>
      <c r="B60" s="24" t="n">
        <v>37</v>
      </c>
      <c r="C60" s="25" t="inlineStr">
        <is>
          <t>Juliana Jiménez Reyes</t>
        </is>
      </c>
      <c r="D60" s="7" t="inlineStr">
        <is>
          <t>T3 · AMARILLO</t>
        </is>
      </c>
      <c r="E60" s="25" t="inlineStr">
        <is>
          <t>DOLOR ABDOMINAL AGUDO</t>
        </is>
      </c>
      <c r="F60" s="24" t="n">
        <v>3</v>
      </c>
      <c r="G60" s="24" t="inlineStr">
        <is>
          <t>Infante</t>
        </is>
      </c>
      <c r="H60" s="24" t="inlineStr">
        <is>
          <t>09:18:00</t>
        </is>
      </c>
      <c r="I60" s="24" t="n">
        <v>3145</v>
      </c>
      <c r="J60" s="24" t="n">
        <v>30</v>
      </c>
      <c r="K60" s="27" t="n">
        <v>3175</v>
      </c>
      <c r="L60" s="25" t="inlineStr">
        <is>
          <t>Laura Gómez</t>
        </is>
      </c>
    </row>
    <row r="61">
      <c r="A61" s="7" t="n">
        <v>58</v>
      </c>
      <c r="B61" s="21" t="n">
        <v>99</v>
      </c>
      <c r="C61" s="22" t="inlineStr">
        <is>
          <t>Sebastián Moreno Torres</t>
        </is>
      </c>
      <c r="D61" s="7" t="inlineStr">
        <is>
          <t>T3 · AMARILLO</t>
        </is>
      </c>
      <c r="E61" s="22" t="inlineStr">
        <is>
          <t>FRACTURA CON COMPROMISO VASCULAR</t>
        </is>
      </c>
      <c r="F61" s="21" t="n">
        <v>3</v>
      </c>
      <c r="G61" s="21" t="inlineStr">
        <is>
          <t>Infante</t>
        </is>
      </c>
      <c r="H61" s="21" t="inlineStr">
        <is>
          <t>14:38:00</t>
        </is>
      </c>
      <c r="I61" s="21" t="n">
        <v>3175</v>
      </c>
      <c r="J61" s="21" t="n">
        <v>35</v>
      </c>
      <c r="K61" s="27" t="n">
        <v>3210</v>
      </c>
      <c r="L61" s="22" t="inlineStr">
        <is>
          <t>Laura Gómez</t>
        </is>
      </c>
    </row>
    <row r="62">
      <c r="A62" s="7" t="n">
        <v>59</v>
      </c>
      <c r="B62" s="24" t="n">
        <v>125</v>
      </c>
      <c r="C62" s="25" t="inlineStr">
        <is>
          <t>Daniela Ríos Cárdenas</t>
        </is>
      </c>
      <c r="D62" s="7" t="inlineStr">
        <is>
          <t>T3 · AMARILLO</t>
        </is>
      </c>
      <c r="E62" s="25" t="inlineStr">
        <is>
          <t>DOLOR ABDOMINAL AGUDO</t>
        </is>
      </c>
      <c r="F62" s="24" t="n">
        <v>2</v>
      </c>
      <c r="G62" s="24" t="inlineStr">
        <is>
          <t>Infante</t>
        </is>
      </c>
      <c r="H62" s="24" t="inlineStr">
        <is>
          <t>16:24:00</t>
        </is>
      </c>
      <c r="I62" s="24" t="n">
        <v>3210</v>
      </c>
      <c r="J62" s="24" t="n">
        <v>30</v>
      </c>
      <c r="K62" s="27" t="n">
        <v>3240</v>
      </c>
      <c r="L62" s="25" t="inlineStr">
        <is>
          <t>Carlos Ramírez</t>
        </is>
      </c>
    </row>
    <row r="63">
      <c r="A63" s="7" t="n">
        <v>60</v>
      </c>
      <c r="B63" s="21" t="n">
        <v>25</v>
      </c>
      <c r="C63" s="22" t="inlineStr">
        <is>
          <t>Natalia Jiménez Castro</t>
        </is>
      </c>
      <c r="D63" s="7" t="inlineStr">
        <is>
          <t>T3 · AMARILLO</t>
        </is>
      </c>
      <c r="E63" s="22" t="inlineStr">
        <is>
          <t>FRACTURA CON COMPROMISO VASCULAR</t>
        </is>
      </c>
      <c r="F63" s="21" t="n">
        <v>5</v>
      </c>
      <c r="G63" s="21" t="inlineStr">
        <is>
          <t>Infante</t>
        </is>
      </c>
      <c r="H63" s="21" t="inlineStr">
        <is>
          <t>16:29:00</t>
        </is>
      </c>
      <c r="I63" s="21" t="n">
        <v>3240</v>
      </c>
      <c r="J63" s="21" t="n">
        <v>35</v>
      </c>
      <c r="K63" s="27" t="n">
        <v>3275</v>
      </c>
      <c r="L63" s="22" t="inlineStr">
        <is>
          <t>Sofía Torres</t>
        </is>
      </c>
    </row>
    <row r="64">
      <c r="A64" s="7" t="n">
        <v>61</v>
      </c>
      <c r="B64" s="24" t="n">
        <v>104</v>
      </c>
      <c r="C64" s="25" t="inlineStr">
        <is>
          <t>Laura Gómez Alvarado</t>
        </is>
      </c>
      <c r="D64" s="7" t="inlineStr">
        <is>
          <t>T3 · AMARILLO</t>
        </is>
      </c>
      <c r="E64" s="25" t="inlineStr">
        <is>
          <t>DOLOR ABDOMINAL AGUDO</t>
        </is>
      </c>
      <c r="F64" s="24" t="n">
        <v>65</v>
      </c>
      <c r="G64" s="24" t="inlineStr">
        <is>
          <t>Adulto mayor</t>
        </is>
      </c>
      <c r="H64" s="24" t="inlineStr">
        <is>
          <t>08:41:00</t>
        </is>
      </c>
      <c r="I64" s="24" t="n">
        <v>3275</v>
      </c>
      <c r="J64" s="24" t="n">
        <v>30</v>
      </c>
      <c r="K64" s="27" t="n">
        <v>3305</v>
      </c>
      <c r="L64" s="25" t="inlineStr">
        <is>
          <t>Carlos Ramírez</t>
        </is>
      </c>
    </row>
    <row r="65">
      <c r="A65" s="7" t="n">
        <v>62</v>
      </c>
      <c r="B65" s="21" t="n">
        <v>31</v>
      </c>
      <c r="C65" s="22" t="inlineStr">
        <is>
          <t>Juliana Jiménez Cárdenas</t>
        </is>
      </c>
      <c r="D65" s="7" t="inlineStr">
        <is>
          <t>T3 · AMARILLO</t>
        </is>
      </c>
      <c r="E65" s="22" t="inlineStr">
        <is>
          <t>DOLOR ABDOMINAL AGUDO</t>
        </is>
      </c>
      <c r="F65" s="21" t="n">
        <v>68</v>
      </c>
      <c r="G65" s="21" t="inlineStr">
        <is>
          <t>Adulto mayor</t>
        </is>
      </c>
      <c r="H65" s="21" t="inlineStr">
        <is>
          <t>09:41:00</t>
        </is>
      </c>
      <c r="I65" s="21" t="n">
        <v>3305</v>
      </c>
      <c r="J65" s="21" t="n">
        <v>30</v>
      </c>
      <c r="K65" s="27" t="n">
        <v>3335</v>
      </c>
      <c r="L65" s="22" t="inlineStr">
        <is>
          <t>Carlos Ramírez</t>
        </is>
      </c>
    </row>
    <row r="66">
      <c r="A66" s="7" t="n">
        <v>63</v>
      </c>
      <c r="B66" s="24" t="n">
        <v>1</v>
      </c>
      <c r="C66" s="25" t="inlineStr">
        <is>
          <t>Sebastián Sánchez Ríos</t>
        </is>
      </c>
      <c r="D66" s="7" t="inlineStr">
        <is>
          <t>T3 · AMARILLO</t>
        </is>
      </c>
      <c r="E66" s="25" t="inlineStr">
        <is>
          <t>FRACTURA CON COMPROMISO VASCULAR</t>
        </is>
      </c>
      <c r="F66" s="24" t="n">
        <v>62</v>
      </c>
      <c r="G66" s="24" t="inlineStr">
        <is>
          <t>Adulto mayor</t>
        </is>
      </c>
      <c r="H66" s="24" t="inlineStr">
        <is>
          <t>10:08:00</t>
        </is>
      </c>
      <c r="I66" s="24" t="n">
        <v>3335</v>
      </c>
      <c r="J66" s="24" t="n">
        <v>35</v>
      </c>
      <c r="K66" s="27" t="n">
        <v>3370</v>
      </c>
      <c r="L66" s="25" t="inlineStr">
        <is>
          <t>Felipe Herrera</t>
        </is>
      </c>
    </row>
    <row r="67">
      <c r="A67" s="7" t="n">
        <v>64</v>
      </c>
      <c r="B67" s="21" t="n">
        <v>69</v>
      </c>
      <c r="C67" s="22" t="inlineStr">
        <is>
          <t>Valentina Ramírez Ríos</t>
        </is>
      </c>
      <c r="D67" s="7" t="inlineStr">
        <is>
          <t>T3 · AMARILLO</t>
        </is>
      </c>
      <c r="E67" s="22" t="inlineStr">
        <is>
          <t>DOLOR ABDOMINAL AGUDO</t>
        </is>
      </c>
      <c r="F67" s="21" t="n">
        <v>68</v>
      </c>
      <c r="G67" s="21" t="inlineStr">
        <is>
          <t>Adulto mayor</t>
        </is>
      </c>
      <c r="H67" s="21" t="inlineStr">
        <is>
          <t>10:14:00</t>
        </is>
      </c>
      <c r="I67" s="21" t="n">
        <v>3370</v>
      </c>
      <c r="J67" s="21" t="n">
        <v>30</v>
      </c>
      <c r="K67" s="27" t="n">
        <v>3400</v>
      </c>
      <c r="L67" s="22" t="inlineStr">
        <is>
          <t>Felipe Herrera</t>
        </is>
      </c>
    </row>
    <row r="68">
      <c r="A68" s="7" t="n">
        <v>65</v>
      </c>
      <c r="B68" s="24" t="n">
        <v>18</v>
      </c>
      <c r="C68" s="25" t="inlineStr">
        <is>
          <t>Ana Gómez Jiménez</t>
        </is>
      </c>
      <c r="D68" s="7" t="inlineStr">
        <is>
          <t>T3 · AMARILLO</t>
        </is>
      </c>
      <c r="E68" s="25" t="inlineStr">
        <is>
          <t>DOLOR ABDOMINAL AGUDO</t>
        </is>
      </c>
      <c r="F68" s="24" t="n">
        <v>68</v>
      </c>
      <c r="G68" s="24" t="inlineStr">
        <is>
          <t>Adulto mayor</t>
        </is>
      </c>
      <c r="H68" s="24" t="inlineStr">
        <is>
          <t>12:52:00</t>
        </is>
      </c>
      <c r="I68" s="24" t="n">
        <v>3400</v>
      </c>
      <c r="J68" s="24" t="n">
        <v>30</v>
      </c>
      <c r="K68" s="27" t="n">
        <v>3430</v>
      </c>
      <c r="L68" s="25" t="inlineStr">
        <is>
          <t>Laura Gómez</t>
        </is>
      </c>
    </row>
    <row r="69">
      <c r="A69" s="7" t="n">
        <v>66</v>
      </c>
      <c r="B69" s="21" t="n">
        <v>17</v>
      </c>
      <c r="C69" s="22" t="inlineStr">
        <is>
          <t>Claudia Medina Pardo</t>
        </is>
      </c>
      <c r="D69" s="7" t="inlineStr">
        <is>
          <t>T3 · AMARILLO</t>
        </is>
      </c>
      <c r="E69" s="22" t="inlineStr">
        <is>
          <t>FRACTURA CON COMPROMISO VASCULAR</t>
        </is>
      </c>
      <c r="F69" s="21" t="n">
        <v>63</v>
      </c>
      <c r="G69" s="21" t="inlineStr">
        <is>
          <t>Adulto mayor</t>
        </is>
      </c>
      <c r="H69" s="21" t="inlineStr">
        <is>
          <t>14:07:00</t>
        </is>
      </c>
      <c r="I69" s="21" t="n">
        <v>3430</v>
      </c>
      <c r="J69" s="21" t="n">
        <v>35</v>
      </c>
      <c r="K69" s="27" t="n">
        <v>3465</v>
      </c>
      <c r="L69" s="22" t="inlineStr">
        <is>
          <t>Carlos Ramírez</t>
        </is>
      </c>
    </row>
    <row r="70">
      <c r="A70" s="7" t="n">
        <v>67</v>
      </c>
      <c r="B70" s="24" t="n">
        <v>23</v>
      </c>
      <c r="C70" s="25" t="inlineStr">
        <is>
          <t>Miguel Reyes Moreno</t>
        </is>
      </c>
      <c r="D70" s="7" t="inlineStr">
        <is>
          <t>T3 · AMARILLO</t>
        </is>
      </c>
      <c r="E70" s="25" t="inlineStr">
        <is>
          <t>DOLOR ABDOMINAL AGUDO</t>
        </is>
      </c>
      <c r="F70" s="24" t="n">
        <v>62</v>
      </c>
      <c r="G70" s="24" t="inlineStr">
        <is>
          <t>Adulto mayor</t>
        </is>
      </c>
      <c r="H70" s="24" t="inlineStr">
        <is>
          <t>14:52:00</t>
        </is>
      </c>
      <c r="I70" s="24" t="n">
        <v>3465</v>
      </c>
      <c r="J70" s="24" t="n">
        <v>30</v>
      </c>
      <c r="K70" s="27" t="n">
        <v>3495</v>
      </c>
      <c r="L70" s="25" t="inlineStr">
        <is>
          <t>Andrés Martínez</t>
        </is>
      </c>
    </row>
    <row r="71">
      <c r="A71" s="7" t="n">
        <v>68</v>
      </c>
      <c r="B71" s="21" t="n">
        <v>128</v>
      </c>
      <c r="C71" s="22" t="inlineStr">
        <is>
          <t>Claudia Bernal Gómez</t>
        </is>
      </c>
      <c r="D71" s="7" t="inlineStr">
        <is>
          <t>T3 · AMARILLO</t>
        </is>
      </c>
      <c r="E71" s="22" t="inlineStr">
        <is>
          <t>DOLOR ABDOMINAL AGUDO</t>
        </is>
      </c>
      <c r="F71" s="21" t="n">
        <v>64</v>
      </c>
      <c r="G71" s="21" t="inlineStr">
        <is>
          <t>Adulto mayor</t>
        </is>
      </c>
      <c r="H71" s="21" t="inlineStr">
        <is>
          <t>17:55:00</t>
        </is>
      </c>
      <c r="I71" s="21" t="n">
        <v>3495</v>
      </c>
      <c r="J71" s="21" t="n">
        <v>30</v>
      </c>
      <c r="K71" s="27" t="n">
        <v>3525</v>
      </c>
      <c r="L71" s="22" t="inlineStr">
        <is>
          <t>Laura Gómez</t>
        </is>
      </c>
    </row>
    <row r="72">
      <c r="A72" s="7" t="n">
        <v>69</v>
      </c>
      <c r="B72" s="24" t="n">
        <v>47</v>
      </c>
      <c r="C72" s="25" t="inlineStr">
        <is>
          <t>Miguel Medina Alvarado</t>
        </is>
      </c>
      <c r="D72" s="7" t="inlineStr">
        <is>
          <t>T3 · AMARILLO</t>
        </is>
      </c>
      <c r="E72" s="25" t="inlineStr">
        <is>
          <t>FRACTURA CON COMPROMISO VASCULAR</t>
        </is>
      </c>
      <c r="F72" s="24" t="n">
        <v>61</v>
      </c>
      <c r="G72" s="24" t="inlineStr">
        <is>
          <t>Adulto mayor</t>
        </is>
      </c>
      <c r="H72" s="24" t="inlineStr">
        <is>
          <t>18:40:00</t>
        </is>
      </c>
      <c r="I72" s="24" t="n">
        <v>3525</v>
      </c>
      <c r="J72" s="24" t="n">
        <v>35</v>
      </c>
      <c r="K72" s="27" t="n">
        <v>3560</v>
      </c>
      <c r="L72" s="25" t="inlineStr">
        <is>
          <t>Sofía Torres</t>
        </is>
      </c>
    </row>
    <row r="73">
      <c r="A73" s="7" t="n">
        <v>70</v>
      </c>
      <c r="B73" s="21" t="n">
        <v>122</v>
      </c>
      <c r="C73" s="22" t="inlineStr">
        <is>
          <t>Fernanda Reyes Jiménez</t>
        </is>
      </c>
      <c r="D73" s="7" t="inlineStr">
        <is>
          <t>T3 · AMARILLO</t>
        </is>
      </c>
      <c r="E73" s="22" t="inlineStr">
        <is>
          <t>DOLOR ABDOMINAL AGUDO</t>
        </is>
      </c>
      <c r="F73" s="21" t="n">
        <v>65</v>
      </c>
      <c r="G73" s="21" t="inlineStr">
        <is>
          <t>Adulto mayor</t>
        </is>
      </c>
      <c r="H73" s="21" t="inlineStr">
        <is>
          <t>20:20:00</t>
        </is>
      </c>
      <c r="I73" s="21" t="n">
        <v>3560</v>
      </c>
      <c r="J73" s="21" t="n">
        <v>30</v>
      </c>
      <c r="K73" s="27" t="n">
        <v>3590</v>
      </c>
      <c r="L73" s="22" t="inlineStr">
        <is>
          <t>Sofía Torres</t>
        </is>
      </c>
    </row>
    <row r="74">
      <c r="A74" s="7" t="n">
        <v>71</v>
      </c>
      <c r="B74" s="24" t="n">
        <v>59</v>
      </c>
      <c r="C74" s="25" t="inlineStr">
        <is>
          <t>María Torres Rodríguez</t>
        </is>
      </c>
      <c r="D74" s="7" t="inlineStr">
        <is>
          <t>T3 · AMARILLO</t>
        </is>
      </c>
      <c r="E74" s="25" t="inlineStr">
        <is>
          <t>DOLOR ABDOMINAL AGUDO</t>
        </is>
      </c>
      <c r="F74" s="24" t="n">
        <v>53</v>
      </c>
      <c r="G74" s="24" t="inlineStr">
        <is>
          <t>Adulto</t>
        </is>
      </c>
      <c r="H74" s="24" t="inlineStr">
        <is>
          <t>08:43:00</t>
        </is>
      </c>
      <c r="I74" s="24" t="n">
        <v>3590</v>
      </c>
      <c r="J74" s="24" t="n">
        <v>30</v>
      </c>
      <c r="K74" s="27" t="n">
        <v>3620</v>
      </c>
      <c r="L74" s="25" t="inlineStr">
        <is>
          <t>Sofía Torres</t>
        </is>
      </c>
    </row>
    <row r="75">
      <c r="A75" s="7" t="n">
        <v>72</v>
      </c>
      <c r="B75" s="21" t="n">
        <v>73</v>
      </c>
      <c r="C75" s="22" t="inlineStr">
        <is>
          <t>Alejandro Martínez Ramírez</t>
        </is>
      </c>
      <c r="D75" s="7" t="inlineStr">
        <is>
          <t>T3 · AMARILLO</t>
        </is>
      </c>
      <c r="E75" s="22" t="inlineStr">
        <is>
          <t>DOLOR ABDOMINAL AGUDO</t>
        </is>
      </c>
      <c r="F75" s="21" t="n">
        <v>38</v>
      </c>
      <c r="G75" s="21" t="inlineStr">
        <is>
          <t>Adulto</t>
        </is>
      </c>
      <c r="H75" s="21" t="inlineStr">
        <is>
          <t>13:46:00</t>
        </is>
      </c>
      <c r="I75" s="21" t="n">
        <v>3620</v>
      </c>
      <c r="J75" s="21" t="n">
        <v>30</v>
      </c>
      <c r="K75" s="27" t="n">
        <v>3650</v>
      </c>
      <c r="L75" s="22" t="inlineStr">
        <is>
          <t>Felipe Herrera</t>
        </is>
      </c>
    </row>
    <row r="76">
      <c r="A76" s="7" t="n">
        <v>73</v>
      </c>
      <c r="B76" s="24" t="n">
        <v>28</v>
      </c>
      <c r="C76" s="25" t="inlineStr">
        <is>
          <t>Alejandro Sánchez García</t>
        </is>
      </c>
      <c r="D76" s="7" t="inlineStr">
        <is>
          <t>T3 · AMARILLO</t>
        </is>
      </c>
      <c r="E76" s="25" t="inlineStr">
        <is>
          <t>FRACTURA CON COMPROMISO VASCULAR</t>
        </is>
      </c>
      <c r="F76" s="24" t="n">
        <v>52</v>
      </c>
      <c r="G76" s="24" t="inlineStr">
        <is>
          <t>Adulto</t>
        </is>
      </c>
      <c r="H76" s="24" t="inlineStr">
        <is>
          <t>14:02:00</t>
        </is>
      </c>
      <c r="I76" s="24" t="n">
        <v>3650</v>
      </c>
      <c r="J76" s="24" t="n">
        <v>35</v>
      </c>
      <c r="K76" s="27" t="n">
        <v>3685</v>
      </c>
      <c r="L76" s="25" t="inlineStr">
        <is>
          <t>Laura Gómez</t>
        </is>
      </c>
    </row>
    <row r="77">
      <c r="A77" s="7" t="n">
        <v>74</v>
      </c>
      <c r="B77" s="21" t="n">
        <v>56</v>
      </c>
      <c r="C77" s="22" t="inlineStr">
        <is>
          <t>Daniel Reyes Moreno</t>
        </is>
      </c>
      <c r="D77" s="7" t="inlineStr">
        <is>
          <t>T3 · AMARILLO</t>
        </is>
      </c>
      <c r="E77" s="22" t="inlineStr">
        <is>
          <t>DOLOR ABDOMINAL AGUDO</t>
        </is>
      </c>
      <c r="F77" s="21" t="n">
        <v>42</v>
      </c>
      <c r="G77" s="21" t="inlineStr">
        <is>
          <t>Adulto</t>
        </is>
      </c>
      <c r="H77" s="21" t="inlineStr">
        <is>
          <t>15:34:00</t>
        </is>
      </c>
      <c r="I77" s="21" t="n">
        <v>3685</v>
      </c>
      <c r="J77" s="21" t="n">
        <v>30</v>
      </c>
      <c r="K77" s="27" t="n">
        <v>3715</v>
      </c>
      <c r="L77" s="22" t="inlineStr">
        <is>
          <t>Felipe Herrera</t>
        </is>
      </c>
    </row>
    <row r="78">
      <c r="A78" s="7" t="n">
        <v>75</v>
      </c>
      <c r="B78" s="24" t="n">
        <v>20</v>
      </c>
      <c r="C78" s="25" t="inlineStr">
        <is>
          <t>Alejandra Castro Medina</t>
        </is>
      </c>
      <c r="D78" s="7" t="inlineStr">
        <is>
          <t>T3 · AMARILLO</t>
        </is>
      </c>
      <c r="E78" s="25" t="inlineStr">
        <is>
          <t>DOLOR ABDOMINAL AGUDO</t>
        </is>
      </c>
      <c r="F78" s="24" t="n">
        <v>51</v>
      </c>
      <c r="G78" s="24" t="inlineStr">
        <is>
          <t>Adulto</t>
        </is>
      </c>
      <c r="H78" s="24" t="inlineStr">
        <is>
          <t>15:59:00</t>
        </is>
      </c>
      <c r="I78" s="24" t="n">
        <v>3715</v>
      </c>
      <c r="J78" s="24" t="n">
        <v>30</v>
      </c>
      <c r="K78" s="27" t="n">
        <v>3745</v>
      </c>
      <c r="L78" s="25" t="inlineStr">
        <is>
          <t>Felipe Herrera</t>
        </is>
      </c>
    </row>
    <row r="79">
      <c r="A79" s="7" t="n">
        <v>76</v>
      </c>
      <c r="B79" s="21" t="n">
        <v>26</v>
      </c>
      <c r="C79" s="22" t="inlineStr">
        <is>
          <t>Alejandro Martínez Bernal</t>
        </is>
      </c>
      <c r="D79" s="7" t="inlineStr">
        <is>
          <t>T3 · AMARILLO</t>
        </is>
      </c>
      <c r="E79" s="22" t="inlineStr">
        <is>
          <t>DOLOR ABDOMINAL AGUDO</t>
        </is>
      </c>
      <c r="F79" s="21" t="n">
        <v>48</v>
      </c>
      <c r="G79" s="21" t="inlineStr">
        <is>
          <t>Adulto</t>
        </is>
      </c>
      <c r="H79" s="21" t="inlineStr">
        <is>
          <t>17:01:00</t>
        </is>
      </c>
      <c r="I79" s="21" t="n">
        <v>3745</v>
      </c>
      <c r="J79" s="21" t="n">
        <v>30</v>
      </c>
      <c r="K79" s="27" t="n">
        <v>3775</v>
      </c>
      <c r="L79" s="22" t="inlineStr">
        <is>
          <t>Laura Gómez</t>
        </is>
      </c>
    </row>
    <row r="80">
      <c r="A80" s="7" t="n">
        <v>77</v>
      </c>
      <c r="B80" s="24" t="n">
        <v>61</v>
      </c>
      <c r="C80" s="25" t="inlineStr">
        <is>
          <t>Carlos García Ospina</t>
        </is>
      </c>
      <c r="D80" s="7" t="inlineStr">
        <is>
          <t>T3 · AMARILLO</t>
        </is>
      </c>
      <c r="E80" s="25" t="inlineStr">
        <is>
          <t>DOLOR ABDOMINAL AGUDO</t>
        </is>
      </c>
      <c r="F80" s="24" t="n">
        <v>29</v>
      </c>
      <c r="G80" s="24" t="inlineStr">
        <is>
          <t>Adulto</t>
        </is>
      </c>
      <c r="H80" s="24" t="inlineStr">
        <is>
          <t>17:19:00</t>
        </is>
      </c>
      <c r="I80" s="24" t="n">
        <v>3775</v>
      </c>
      <c r="J80" s="24" t="n">
        <v>30</v>
      </c>
      <c r="K80" s="27" t="n">
        <v>3805</v>
      </c>
      <c r="L80" s="25" t="inlineStr">
        <is>
          <t>Felipe Herrera</t>
        </is>
      </c>
    </row>
    <row r="81">
      <c r="A81" s="7" t="n">
        <v>78</v>
      </c>
      <c r="B81" s="21" t="n">
        <v>46</v>
      </c>
      <c r="C81" s="22" t="inlineStr">
        <is>
          <t>Ana Cárdenas Alvarado</t>
        </is>
      </c>
      <c r="D81" s="7" t="inlineStr">
        <is>
          <t>T3 · AMARILLO</t>
        </is>
      </c>
      <c r="E81" s="22" t="inlineStr">
        <is>
          <t>FRACTURA CON COMPROMISO VASCULAR</t>
        </is>
      </c>
      <c r="F81" s="21" t="n">
        <v>58</v>
      </c>
      <c r="G81" s="21" t="inlineStr">
        <is>
          <t>Adulto</t>
        </is>
      </c>
      <c r="H81" s="21" t="inlineStr">
        <is>
          <t>17:56:00</t>
        </is>
      </c>
      <c r="I81" s="21" t="n">
        <v>3805</v>
      </c>
      <c r="J81" s="21" t="n">
        <v>35</v>
      </c>
      <c r="K81" s="27" t="n">
        <v>3840</v>
      </c>
      <c r="L81" s="22" t="inlineStr">
        <is>
          <t>Andrés Martínez</t>
        </is>
      </c>
    </row>
    <row r="82">
      <c r="A82" s="7" t="n">
        <v>79</v>
      </c>
      <c r="B82" s="24" t="n">
        <v>140</v>
      </c>
      <c r="C82" s="25" t="inlineStr">
        <is>
          <t>Camilo Torres Herrera</t>
        </is>
      </c>
      <c r="D82" s="7" t="inlineStr">
        <is>
          <t>T3 · AMARILLO</t>
        </is>
      </c>
      <c r="E82" s="25" t="inlineStr">
        <is>
          <t>FRACTURA CON COMPROMISO VASCULAR</t>
        </is>
      </c>
      <c r="F82" s="24" t="n">
        <v>43</v>
      </c>
      <c r="G82" s="24" t="inlineStr">
        <is>
          <t>Adulto</t>
        </is>
      </c>
      <c r="H82" s="24" t="inlineStr">
        <is>
          <t>18:05:00</t>
        </is>
      </c>
      <c r="I82" s="24" t="n">
        <v>3840</v>
      </c>
      <c r="J82" s="24" t="n">
        <v>35</v>
      </c>
      <c r="K82" s="27" t="n">
        <v>3875</v>
      </c>
      <c r="L82" s="25" t="inlineStr">
        <is>
          <t>Carlos Ramírez</t>
        </is>
      </c>
    </row>
    <row r="83">
      <c r="A83" s="7" t="n">
        <v>80</v>
      </c>
      <c r="B83" s="21" t="n">
        <v>101</v>
      </c>
      <c r="C83" s="22" t="inlineStr">
        <is>
          <t>Ana Morales Cárdenas</t>
        </is>
      </c>
      <c r="D83" s="7" t="inlineStr">
        <is>
          <t>T3 · AMARILLO</t>
        </is>
      </c>
      <c r="E83" s="22" t="inlineStr">
        <is>
          <t>DOLOR ABDOMINAL AGUDO</t>
        </is>
      </c>
      <c r="F83" s="21" t="n">
        <v>58</v>
      </c>
      <c r="G83" s="21" t="inlineStr">
        <is>
          <t>Adulto</t>
        </is>
      </c>
      <c r="H83" s="21" t="inlineStr">
        <is>
          <t>18:40:00</t>
        </is>
      </c>
      <c r="I83" s="21" t="n">
        <v>3875</v>
      </c>
      <c r="J83" s="21" t="n">
        <v>30</v>
      </c>
      <c r="K83" s="27" t="n">
        <v>3905</v>
      </c>
      <c r="L83" s="22" t="inlineStr">
        <is>
          <t>Felipe Herrera</t>
        </is>
      </c>
    </row>
    <row r="84">
      <c r="A84" s="7" t="n">
        <v>81</v>
      </c>
      <c r="B84" s="24" t="n">
        <v>84</v>
      </c>
      <c r="C84" s="25" t="inlineStr">
        <is>
          <t>Camila Ramírez Medina</t>
        </is>
      </c>
      <c r="D84" s="7" t="inlineStr">
        <is>
          <t>T3 · AMARILLO</t>
        </is>
      </c>
      <c r="E84" s="25" t="inlineStr">
        <is>
          <t>DOLOR ABDOMINAL AGUDO</t>
        </is>
      </c>
      <c r="F84" s="24" t="n">
        <v>58</v>
      </c>
      <c r="G84" s="24" t="inlineStr">
        <is>
          <t>Adulto</t>
        </is>
      </c>
      <c r="H84" s="24" t="inlineStr">
        <is>
          <t>18:57:00</t>
        </is>
      </c>
      <c r="I84" s="24" t="n">
        <v>3905</v>
      </c>
      <c r="J84" s="24" t="n">
        <v>30</v>
      </c>
      <c r="K84" s="27" t="n">
        <v>3935</v>
      </c>
      <c r="L84" s="25" t="inlineStr">
        <is>
          <t>Andrés Martínez</t>
        </is>
      </c>
    </row>
    <row r="85">
      <c r="A85" s="7" t="n">
        <v>82</v>
      </c>
      <c r="B85" s="21" t="n">
        <v>71</v>
      </c>
      <c r="C85" s="22" t="inlineStr">
        <is>
          <t>Jorge Vargas Ramírez</t>
        </is>
      </c>
      <c r="D85" s="7" t="inlineStr">
        <is>
          <t>T3 · AMARILLO</t>
        </is>
      </c>
      <c r="E85" s="22" t="inlineStr">
        <is>
          <t>DOLOR ABDOMINAL AGUDO</t>
        </is>
      </c>
      <c r="F85" s="21" t="n">
        <v>48</v>
      </c>
      <c r="G85" s="21" t="inlineStr">
        <is>
          <t>Adulto</t>
        </is>
      </c>
      <c r="H85" s="21" t="inlineStr">
        <is>
          <t>19:00:00</t>
        </is>
      </c>
      <c r="I85" s="21" t="n">
        <v>3935</v>
      </c>
      <c r="J85" s="21" t="n">
        <v>30</v>
      </c>
      <c r="K85" s="27" t="n">
        <v>3965</v>
      </c>
      <c r="L85" s="22" t="inlineStr">
        <is>
          <t>Carlos Ramírez</t>
        </is>
      </c>
    </row>
    <row r="86">
      <c r="A86" s="7" t="n">
        <v>83</v>
      </c>
      <c r="B86" s="24" t="n">
        <v>143</v>
      </c>
      <c r="C86" s="25" t="inlineStr">
        <is>
          <t>Alejandro Gómez Cárdenas</t>
        </is>
      </c>
      <c r="D86" s="7" t="inlineStr">
        <is>
          <t>T3 · AMARILLO</t>
        </is>
      </c>
      <c r="E86" s="25" t="inlineStr">
        <is>
          <t>DOLOR ABDOMINAL AGUDO</t>
        </is>
      </c>
      <c r="F86" s="24" t="n">
        <v>45</v>
      </c>
      <c r="G86" s="24" t="inlineStr">
        <is>
          <t>Adulto</t>
        </is>
      </c>
      <c r="H86" s="24" t="inlineStr">
        <is>
          <t>19:01:00</t>
        </is>
      </c>
      <c r="I86" s="24" t="n">
        <v>3965</v>
      </c>
      <c r="J86" s="24" t="n">
        <v>30</v>
      </c>
      <c r="K86" s="27" t="n">
        <v>3995</v>
      </c>
      <c r="L86" s="25" t="inlineStr">
        <is>
          <t>Laura Gómez</t>
        </is>
      </c>
    </row>
    <row r="87">
      <c r="A87" s="7" t="n">
        <v>84</v>
      </c>
      <c r="B87" s="21" t="n">
        <v>51</v>
      </c>
      <c r="C87" s="22" t="inlineStr">
        <is>
          <t>María Herrera Alvarado</t>
        </is>
      </c>
      <c r="D87" s="7" t="inlineStr">
        <is>
          <t>T3 · AMARILLO</t>
        </is>
      </c>
      <c r="E87" s="22" t="inlineStr">
        <is>
          <t>FRACTURA CON COMPROMISO VASCULAR</t>
        </is>
      </c>
      <c r="F87" s="21" t="n">
        <v>25</v>
      </c>
      <c r="G87" s="21" t="inlineStr">
        <is>
          <t>Adulto</t>
        </is>
      </c>
      <c r="H87" s="21" t="inlineStr">
        <is>
          <t>20:17:00</t>
        </is>
      </c>
      <c r="I87" s="21" t="n">
        <v>3995</v>
      </c>
      <c r="J87" s="21" t="n">
        <v>35</v>
      </c>
      <c r="K87" s="27" t="n">
        <v>4030</v>
      </c>
      <c r="L87" s="22" t="inlineStr">
        <is>
          <t>Laura Gómez</t>
        </is>
      </c>
    </row>
    <row r="88">
      <c r="A88" s="7" t="n">
        <v>85</v>
      </c>
      <c r="B88" s="24" t="n">
        <v>96</v>
      </c>
      <c r="C88" s="25" t="inlineStr">
        <is>
          <t>Camila Alvarado Díaz</t>
        </is>
      </c>
      <c r="D88" s="7" t="inlineStr">
        <is>
          <t>T3 · AMARILLO</t>
        </is>
      </c>
      <c r="E88" s="25" t="inlineStr">
        <is>
          <t>DOLOR ABDOMINAL AGUDO</t>
        </is>
      </c>
      <c r="F88" s="24" t="n">
        <v>25</v>
      </c>
      <c r="G88" s="24" t="inlineStr">
        <is>
          <t>Adulto</t>
        </is>
      </c>
      <c r="H88" s="24" t="inlineStr">
        <is>
          <t>20:47:00</t>
        </is>
      </c>
      <c r="I88" s="24" t="n">
        <v>4030</v>
      </c>
      <c r="J88" s="24" t="n">
        <v>30</v>
      </c>
      <c r="K88" s="27" t="n">
        <v>4060</v>
      </c>
      <c r="L88" s="25" t="inlineStr">
        <is>
          <t>Laura Gómez</t>
        </is>
      </c>
    </row>
    <row r="89">
      <c r="A89" s="10" t="n">
        <v>86</v>
      </c>
      <c r="B89" s="21" t="n">
        <v>135</v>
      </c>
      <c r="C89" s="22" t="inlineStr">
        <is>
          <t>Camilo Herrera Castro</t>
        </is>
      </c>
      <c r="D89" s="10" t="inlineStr">
        <is>
          <t>T4 · VERDE</t>
        </is>
      </c>
      <c r="E89" s="22" t="inlineStr">
        <is>
          <t>FIEBRE ALTA CON CONVULSIÓN</t>
        </is>
      </c>
      <c r="F89" s="21" t="n">
        <v>87</v>
      </c>
      <c r="G89" s="21" t="inlineStr">
        <is>
          <t>Anciano</t>
        </is>
      </c>
      <c r="H89" s="21" t="inlineStr">
        <is>
          <t>07:46:00</t>
        </is>
      </c>
      <c r="I89" s="21" t="n">
        <v>4060</v>
      </c>
      <c r="J89" s="21" t="n">
        <v>25</v>
      </c>
      <c r="K89" s="27" t="n">
        <v>4085</v>
      </c>
      <c r="L89" s="22" t="inlineStr">
        <is>
          <t>Andrés Martínez</t>
        </is>
      </c>
    </row>
    <row r="90">
      <c r="A90" s="10" t="n">
        <v>87</v>
      </c>
      <c r="B90" s="24" t="n">
        <v>12</v>
      </c>
      <c r="C90" s="25" t="inlineStr">
        <is>
          <t>Daniel Gómez López</t>
        </is>
      </c>
      <c r="D90" s="10" t="inlineStr">
        <is>
          <t>T4 · VERDE</t>
        </is>
      </c>
      <c r="E90" s="25" t="inlineStr">
        <is>
          <t>HERIDA CON SANGRADO MODERADO</t>
        </is>
      </c>
      <c r="F90" s="24" t="n">
        <v>83</v>
      </c>
      <c r="G90" s="24" t="inlineStr">
        <is>
          <t>Anciano</t>
        </is>
      </c>
      <c r="H90" s="24" t="inlineStr">
        <is>
          <t>07:59:00</t>
        </is>
      </c>
      <c r="I90" s="24" t="n">
        <v>4085</v>
      </c>
      <c r="J90" s="24" t="n">
        <v>20</v>
      </c>
      <c r="K90" s="27" t="n">
        <v>4105</v>
      </c>
      <c r="L90" s="25" t="inlineStr">
        <is>
          <t>Laura Gómez</t>
        </is>
      </c>
    </row>
    <row r="91">
      <c r="A91" s="10" t="n">
        <v>88</v>
      </c>
      <c r="B91" s="21" t="n">
        <v>129</v>
      </c>
      <c r="C91" s="22" t="inlineStr">
        <is>
          <t>Daniel Ríos Sánchez</t>
        </is>
      </c>
      <c r="D91" s="10" t="inlineStr">
        <is>
          <t>T4 · VERDE</t>
        </is>
      </c>
      <c r="E91" s="22" t="inlineStr">
        <is>
          <t>FIEBRE ALTA CON CONVULSIÓN</t>
        </is>
      </c>
      <c r="F91" s="21" t="n">
        <v>85</v>
      </c>
      <c r="G91" s="21" t="inlineStr">
        <is>
          <t>Anciano</t>
        </is>
      </c>
      <c r="H91" s="21" t="inlineStr">
        <is>
          <t>08:42:00</t>
        </is>
      </c>
      <c r="I91" s="21" t="n">
        <v>4105</v>
      </c>
      <c r="J91" s="21" t="n">
        <v>25</v>
      </c>
      <c r="K91" s="27" t="n">
        <v>4130</v>
      </c>
      <c r="L91" s="22" t="inlineStr">
        <is>
          <t>Felipe Herrera</t>
        </is>
      </c>
    </row>
    <row r="92">
      <c r="A92" s="10" t="n">
        <v>89</v>
      </c>
      <c r="B92" s="24" t="n">
        <v>24</v>
      </c>
      <c r="C92" s="25" t="inlineStr">
        <is>
          <t>Felipe Díaz Gómez</t>
        </is>
      </c>
      <c r="D92" s="10" t="inlineStr">
        <is>
          <t>T4 · VERDE</t>
        </is>
      </c>
      <c r="E92" s="25" t="inlineStr">
        <is>
          <t>HERIDA CON SANGRADO MODERADO</t>
        </is>
      </c>
      <c r="F92" s="24" t="n">
        <v>0</v>
      </c>
      <c r="G92" s="24" t="inlineStr">
        <is>
          <t>Neonato</t>
        </is>
      </c>
      <c r="H92" s="24" t="inlineStr">
        <is>
          <t>09:32:00</t>
        </is>
      </c>
      <c r="I92" s="24" t="n">
        <v>4130</v>
      </c>
      <c r="J92" s="24" t="n">
        <v>20</v>
      </c>
      <c r="K92" s="27" t="n">
        <v>4150</v>
      </c>
      <c r="L92" s="25" t="inlineStr">
        <is>
          <t>Laura Gómez</t>
        </is>
      </c>
    </row>
    <row r="93">
      <c r="A93" s="10" t="n">
        <v>90</v>
      </c>
      <c r="B93" s="21" t="n">
        <v>2</v>
      </c>
      <c r="C93" s="22" t="inlineStr">
        <is>
          <t>Sebastián Morales Ríos</t>
        </is>
      </c>
      <c r="D93" s="10" t="inlineStr">
        <is>
          <t>T4 · VERDE</t>
        </is>
      </c>
      <c r="E93" s="22" t="inlineStr">
        <is>
          <t>HERIDA CON SANGRADO MODERADO</t>
        </is>
      </c>
      <c r="F93" s="21" t="n">
        <v>83</v>
      </c>
      <c r="G93" s="21" t="inlineStr">
        <is>
          <t>Anciano</t>
        </is>
      </c>
      <c r="H93" s="21" t="inlineStr">
        <is>
          <t>10:37:00</t>
        </is>
      </c>
      <c r="I93" s="21" t="n">
        <v>4150</v>
      </c>
      <c r="J93" s="21" t="n">
        <v>20</v>
      </c>
      <c r="K93" s="27" t="n">
        <v>4170</v>
      </c>
      <c r="L93" s="22" t="inlineStr">
        <is>
          <t>Sofía Torres</t>
        </is>
      </c>
    </row>
    <row r="94">
      <c r="A94" s="10" t="n">
        <v>91</v>
      </c>
      <c r="B94" s="24" t="n">
        <v>130</v>
      </c>
      <c r="C94" s="25" t="inlineStr">
        <is>
          <t>Camilo Reyes Ríos</t>
        </is>
      </c>
      <c r="D94" s="10" t="inlineStr">
        <is>
          <t>T4 · VERDE</t>
        </is>
      </c>
      <c r="E94" s="25" t="inlineStr">
        <is>
          <t>HERIDA CON SANGRADO MODERADO</t>
        </is>
      </c>
      <c r="F94" s="24" t="n">
        <v>80</v>
      </c>
      <c r="G94" s="24" t="inlineStr">
        <is>
          <t>Anciano</t>
        </is>
      </c>
      <c r="H94" s="24" t="inlineStr">
        <is>
          <t>12:01:00</t>
        </is>
      </c>
      <c r="I94" s="24" t="n">
        <v>4170</v>
      </c>
      <c r="J94" s="24" t="n">
        <v>20</v>
      </c>
      <c r="K94" s="27" t="n">
        <v>4190</v>
      </c>
      <c r="L94" s="25" t="inlineStr">
        <is>
          <t>Laura Gómez</t>
        </is>
      </c>
    </row>
    <row r="95">
      <c r="A95" s="10" t="n">
        <v>92</v>
      </c>
      <c r="B95" s="21" t="n">
        <v>55</v>
      </c>
      <c r="C95" s="22" t="inlineStr">
        <is>
          <t>Carlos Torres Sánchez</t>
        </is>
      </c>
      <c r="D95" s="10" t="inlineStr">
        <is>
          <t>T4 · VERDE</t>
        </is>
      </c>
      <c r="E95" s="22" t="inlineStr">
        <is>
          <t>HERIDA CON SANGRADO MODERADO</t>
        </is>
      </c>
      <c r="F95" s="21" t="n">
        <v>85</v>
      </c>
      <c r="G95" s="21" t="inlineStr">
        <is>
          <t>Anciano</t>
        </is>
      </c>
      <c r="H95" s="21" t="inlineStr">
        <is>
          <t>12:47:00</t>
        </is>
      </c>
      <c r="I95" s="21" t="n">
        <v>4190</v>
      </c>
      <c r="J95" s="21" t="n">
        <v>20</v>
      </c>
      <c r="K95" s="27" t="n">
        <v>4210</v>
      </c>
      <c r="L95" s="22" t="inlineStr">
        <is>
          <t>Felipe Herrera</t>
        </is>
      </c>
    </row>
    <row r="96">
      <c r="A96" s="10" t="n">
        <v>93</v>
      </c>
      <c r="B96" s="24" t="n">
        <v>78</v>
      </c>
      <c r="C96" s="25" t="inlineStr">
        <is>
          <t>Felipe Díaz Ríos</t>
        </is>
      </c>
      <c r="D96" s="10" t="inlineStr">
        <is>
          <t>T4 · VERDE</t>
        </is>
      </c>
      <c r="E96" s="25" t="inlineStr">
        <is>
          <t>FIEBRE ALTA CON CONVULSIÓN</t>
        </is>
      </c>
      <c r="F96" s="24" t="n">
        <v>90</v>
      </c>
      <c r="G96" s="24" t="inlineStr">
        <is>
          <t>Anciano</t>
        </is>
      </c>
      <c r="H96" s="24" t="inlineStr">
        <is>
          <t>14:05:00</t>
        </is>
      </c>
      <c r="I96" s="24" t="n">
        <v>4210</v>
      </c>
      <c r="J96" s="24" t="n">
        <v>25</v>
      </c>
      <c r="K96" s="27" t="n">
        <v>4235</v>
      </c>
      <c r="L96" s="25" t="inlineStr">
        <is>
          <t>Sofía Torres</t>
        </is>
      </c>
    </row>
    <row r="97">
      <c r="A97" s="10" t="n">
        <v>94</v>
      </c>
      <c r="B97" s="21" t="n">
        <v>149</v>
      </c>
      <c r="C97" s="22" t="inlineStr">
        <is>
          <t>Juan Medina Moreno</t>
        </is>
      </c>
      <c r="D97" s="10" t="inlineStr">
        <is>
          <t>T4 · VERDE</t>
        </is>
      </c>
      <c r="E97" s="22" t="inlineStr">
        <is>
          <t>FIEBRE ALTA CON CONVULSIÓN</t>
        </is>
      </c>
      <c r="F97" s="21" t="n">
        <v>81</v>
      </c>
      <c r="G97" s="21" t="inlineStr">
        <is>
          <t>Anciano</t>
        </is>
      </c>
      <c r="H97" s="21" t="inlineStr">
        <is>
          <t>18:41:00</t>
        </is>
      </c>
      <c r="I97" s="21" t="n">
        <v>4235</v>
      </c>
      <c r="J97" s="21" t="n">
        <v>25</v>
      </c>
      <c r="K97" s="27" t="n">
        <v>4260</v>
      </c>
      <c r="L97" s="22" t="inlineStr">
        <is>
          <t>Carlos Ramírez</t>
        </is>
      </c>
    </row>
    <row r="98">
      <c r="A98" s="10" t="n">
        <v>95</v>
      </c>
      <c r="B98" s="24" t="n">
        <v>36</v>
      </c>
      <c r="C98" s="25" t="inlineStr">
        <is>
          <t>Nicolás Vargas García</t>
        </is>
      </c>
      <c r="D98" s="10" t="inlineStr">
        <is>
          <t>T4 · VERDE</t>
        </is>
      </c>
      <c r="E98" s="25" t="inlineStr">
        <is>
          <t>HERIDA CON SANGRADO MODERADO</t>
        </is>
      </c>
      <c r="F98" s="24" t="n">
        <v>86</v>
      </c>
      <c r="G98" s="24" t="inlineStr">
        <is>
          <t>Anciano</t>
        </is>
      </c>
      <c r="H98" s="24" t="inlineStr">
        <is>
          <t>20:01:00</t>
        </is>
      </c>
      <c r="I98" s="24" t="n">
        <v>4260</v>
      </c>
      <c r="J98" s="24" t="n">
        <v>20</v>
      </c>
      <c r="K98" s="27" t="n">
        <v>4280</v>
      </c>
      <c r="L98" s="25" t="inlineStr">
        <is>
          <t>Carlos Ramírez</t>
        </is>
      </c>
    </row>
    <row r="99">
      <c r="A99" s="10" t="n">
        <v>96</v>
      </c>
      <c r="B99" s="21" t="n">
        <v>109</v>
      </c>
      <c r="C99" s="22" t="inlineStr">
        <is>
          <t>Alejandra Ospina Jiménez</t>
        </is>
      </c>
      <c r="D99" s="10" t="inlineStr">
        <is>
          <t>T4 · VERDE</t>
        </is>
      </c>
      <c r="E99" s="22" t="inlineStr">
        <is>
          <t>FIEBRE ALTA CON CONVULSIÓN</t>
        </is>
      </c>
      <c r="F99" s="21" t="n">
        <v>88</v>
      </c>
      <c r="G99" s="21" t="inlineStr">
        <is>
          <t>Anciano</t>
        </is>
      </c>
      <c r="H99" s="21" t="inlineStr">
        <is>
          <t>20:43:00</t>
        </is>
      </c>
      <c r="I99" s="21" t="n">
        <v>4280</v>
      </c>
      <c r="J99" s="21" t="n">
        <v>25</v>
      </c>
      <c r="K99" s="27" t="n">
        <v>4305</v>
      </c>
      <c r="L99" s="22" t="inlineStr">
        <is>
          <t>Laura Gómez</t>
        </is>
      </c>
    </row>
    <row r="100">
      <c r="A100" s="10" t="n">
        <v>97</v>
      </c>
      <c r="B100" s="24" t="n">
        <v>114</v>
      </c>
      <c r="C100" s="25" t="inlineStr">
        <is>
          <t>Daniel Sánchez Ríos</t>
        </is>
      </c>
      <c r="D100" s="10" t="inlineStr">
        <is>
          <t>T4 · VERDE</t>
        </is>
      </c>
      <c r="E100" s="25" t="inlineStr">
        <is>
          <t>HERIDA CON SANGRADO MODERADO</t>
        </is>
      </c>
      <c r="F100" s="24" t="n">
        <v>4</v>
      </c>
      <c r="G100" s="24" t="inlineStr">
        <is>
          <t>Infante</t>
        </is>
      </c>
      <c r="H100" s="24" t="inlineStr">
        <is>
          <t>08:45:00</t>
        </is>
      </c>
      <c r="I100" s="24" t="n">
        <v>4305</v>
      </c>
      <c r="J100" s="24" t="n">
        <v>20</v>
      </c>
      <c r="K100" s="27" t="n">
        <v>4325</v>
      </c>
      <c r="L100" s="25" t="inlineStr">
        <is>
          <t>Andrés Martínez</t>
        </is>
      </c>
    </row>
    <row r="101">
      <c r="A101" s="10" t="n">
        <v>98</v>
      </c>
      <c r="B101" s="21" t="n">
        <v>83</v>
      </c>
      <c r="C101" s="22" t="inlineStr">
        <is>
          <t>Juan Medina Torres</t>
        </is>
      </c>
      <c r="D101" s="10" t="inlineStr">
        <is>
          <t>T4 · VERDE</t>
        </is>
      </c>
      <c r="E101" s="22" t="inlineStr">
        <is>
          <t>HERIDA CON SANGRADO MODERADO</t>
        </is>
      </c>
      <c r="F101" s="21" t="n">
        <v>3</v>
      </c>
      <c r="G101" s="21" t="inlineStr">
        <is>
          <t>Infante</t>
        </is>
      </c>
      <c r="H101" s="21" t="inlineStr">
        <is>
          <t>16:52:00</t>
        </is>
      </c>
      <c r="I101" s="21" t="n">
        <v>4325</v>
      </c>
      <c r="J101" s="21" t="n">
        <v>20</v>
      </c>
      <c r="K101" s="27" t="n">
        <v>4345</v>
      </c>
      <c r="L101" s="22" t="inlineStr">
        <is>
          <t>Carlos Ramírez</t>
        </is>
      </c>
    </row>
    <row r="102">
      <c r="A102" s="10" t="n">
        <v>99</v>
      </c>
      <c r="B102" s="24" t="n">
        <v>127</v>
      </c>
      <c r="C102" s="25" t="inlineStr">
        <is>
          <t>Sofía Bernal Morales</t>
        </is>
      </c>
      <c r="D102" s="10" t="inlineStr">
        <is>
          <t>T4 · VERDE</t>
        </is>
      </c>
      <c r="E102" s="25" t="inlineStr">
        <is>
          <t>HERIDA CON SANGRADO MODERADO</t>
        </is>
      </c>
      <c r="F102" s="24" t="n">
        <v>72</v>
      </c>
      <c r="G102" s="24" t="inlineStr">
        <is>
          <t>Adulto mayor</t>
        </is>
      </c>
      <c r="H102" s="24" t="inlineStr">
        <is>
          <t>08:22:00</t>
        </is>
      </c>
      <c r="I102" s="24" t="n">
        <v>4345</v>
      </c>
      <c r="J102" s="24" t="n">
        <v>20</v>
      </c>
      <c r="K102" s="27" t="n">
        <v>4365</v>
      </c>
      <c r="L102" s="25" t="inlineStr">
        <is>
          <t>Carlos Ramírez</t>
        </is>
      </c>
    </row>
    <row r="103">
      <c r="A103" s="10" t="n">
        <v>100</v>
      </c>
      <c r="B103" s="21" t="n">
        <v>131</v>
      </c>
      <c r="C103" s="22" t="inlineStr">
        <is>
          <t>Nicolás Díaz Moreno</t>
        </is>
      </c>
      <c r="D103" s="10" t="inlineStr">
        <is>
          <t>T4 · VERDE</t>
        </is>
      </c>
      <c r="E103" s="22" t="inlineStr">
        <is>
          <t>FIEBRE ALTA CON CONVULSIÓN</t>
        </is>
      </c>
      <c r="F103" s="21" t="n">
        <v>70</v>
      </c>
      <c r="G103" s="21" t="inlineStr">
        <is>
          <t>Adulto mayor</t>
        </is>
      </c>
      <c r="H103" s="21" t="inlineStr">
        <is>
          <t>10:09:00</t>
        </is>
      </c>
      <c r="I103" s="21" t="n">
        <v>4365</v>
      </c>
      <c r="J103" s="21" t="n">
        <v>25</v>
      </c>
      <c r="K103" s="27" t="n">
        <v>4390</v>
      </c>
      <c r="L103" s="22" t="inlineStr">
        <is>
          <t>Carlos Ramírez</t>
        </is>
      </c>
    </row>
    <row r="104">
      <c r="A104" s="10" t="n">
        <v>101</v>
      </c>
      <c r="B104" s="24" t="n">
        <v>62</v>
      </c>
      <c r="C104" s="25" t="inlineStr">
        <is>
          <t>Ana Muñoz Gómez</t>
        </is>
      </c>
      <c r="D104" s="10" t="inlineStr">
        <is>
          <t>T4 · VERDE</t>
        </is>
      </c>
      <c r="E104" s="25" t="inlineStr">
        <is>
          <t>FIEBRE ALTA CON CONVULSIÓN</t>
        </is>
      </c>
      <c r="F104" s="24" t="n">
        <v>63</v>
      </c>
      <c r="G104" s="24" t="inlineStr">
        <is>
          <t>Adulto mayor</t>
        </is>
      </c>
      <c r="H104" s="24" t="inlineStr">
        <is>
          <t>10:25:00</t>
        </is>
      </c>
      <c r="I104" s="24" t="n">
        <v>4390</v>
      </c>
      <c r="J104" s="24" t="n">
        <v>25</v>
      </c>
      <c r="K104" s="27" t="n">
        <v>4415</v>
      </c>
      <c r="L104" s="25" t="inlineStr">
        <is>
          <t>Andrés Martínez</t>
        </is>
      </c>
    </row>
    <row r="105">
      <c r="A105" s="10" t="n">
        <v>102</v>
      </c>
      <c r="B105" s="21" t="n">
        <v>137</v>
      </c>
      <c r="C105" s="22" t="inlineStr">
        <is>
          <t>María Alvarado Moreno</t>
        </is>
      </c>
      <c r="D105" s="10" t="inlineStr">
        <is>
          <t>T4 · VERDE</t>
        </is>
      </c>
      <c r="E105" s="22" t="inlineStr">
        <is>
          <t>HERIDA CON SANGRADO MODERADO</t>
        </is>
      </c>
      <c r="F105" s="21" t="n">
        <v>66</v>
      </c>
      <c r="G105" s="21" t="inlineStr">
        <is>
          <t>Adulto mayor</t>
        </is>
      </c>
      <c r="H105" s="21" t="inlineStr">
        <is>
          <t>12:05:00</t>
        </is>
      </c>
      <c r="I105" s="21" t="n">
        <v>4415</v>
      </c>
      <c r="J105" s="21" t="n">
        <v>20</v>
      </c>
      <c r="K105" s="27" t="n">
        <v>4435</v>
      </c>
      <c r="L105" s="22" t="inlineStr">
        <is>
          <t>Carlos Ramírez</t>
        </is>
      </c>
    </row>
    <row r="106">
      <c r="A106" s="10" t="n">
        <v>103</v>
      </c>
      <c r="B106" s="24" t="n">
        <v>63</v>
      </c>
      <c r="C106" s="25" t="inlineStr">
        <is>
          <t>David Torres López</t>
        </is>
      </c>
      <c r="D106" s="10" t="inlineStr">
        <is>
          <t>T4 · VERDE</t>
        </is>
      </c>
      <c r="E106" s="25" t="inlineStr">
        <is>
          <t>FIEBRE ALTA CON CONVULSIÓN</t>
        </is>
      </c>
      <c r="F106" s="24" t="n">
        <v>64</v>
      </c>
      <c r="G106" s="24" t="inlineStr">
        <is>
          <t>Adulto mayor</t>
        </is>
      </c>
      <c r="H106" s="24" t="inlineStr">
        <is>
          <t>12:13:00</t>
        </is>
      </c>
      <c r="I106" s="24" t="n">
        <v>4435</v>
      </c>
      <c r="J106" s="24" t="n">
        <v>25</v>
      </c>
      <c r="K106" s="27" t="n">
        <v>4460</v>
      </c>
      <c r="L106" s="25" t="inlineStr">
        <is>
          <t>Felipe Herrera</t>
        </is>
      </c>
    </row>
    <row r="107">
      <c r="A107" s="10" t="n">
        <v>104</v>
      </c>
      <c r="B107" s="21" t="n">
        <v>89</v>
      </c>
      <c r="C107" s="22" t="inlineStr">
        <is>
          <t>Camila Díaz Rodríguez</t>
        </is>
      </c>
      <c r="D107" s="10" t="inlineStr">
        <is>
          <t>T4 · VERDE</t>
        </is>
      </c>
      <c r="E107" s="22" t="inlineStr">
        <is>
          <t>HERIDA CON SANGRADO MODERADO</t>
        </is>
      </c>
      <c r="F107" s="21" t="n">
        <v>62</v>
      </c>
      <c r="G107" s="21" t="inlineStr">
        <is>
          <t>Adulto mayor</t>
        </is>
      </c>
      <c r="H107" s="21" t="inlineStr">
        <is>
          <t>13:09:00</t>
        </is>
      </c>
      <c r="I107" s="21" t="n">
        <v>4460</v>
      </c>
      <c r="J107" s="21" t="n">
        <v>20</v>
      </c>
      <c r="K107" s="27" t="n">
        <v>4480</v>
      </c>
      <c r="L107" s="22" t="inlineStr">
        <is>
          <t>Carlos Ramírez</t>
        </is>
      </c>
    </row>
    <row r="108">
      <c r="A108" s="10" t="n">
        <v>105</v>
      </c>
      <c r="B108" s="24" t="n">
        <v>34</v>
      </c>
      <c r="C108" s="25" t="inlineStr">
        <is>
          <t>Valentina Cruz Rodríguez</t>
        </is>
      </c>
      <c r="D108" s="10" t="inlineStr">
        <is>
          <t>T4 · VERDE</t>
        </is>
      </c>
      <c r="E108" s="25" t="inlineStr">
        <is>
          <t>FIEBRE ALTA CON CONVULSIÓN</t>
        </is>
      </c>
      <c r="F108" s="24" t="n">
        <v>73</v>
      </c>
      <c r="G108" s="24" t="inlineStr">
        <is>
          <t>Adulto mayor</t>
        </is>
      </c>
      <c r="H108" s="24" t="inlineStr">
        <is>
          <t>13:37:00</t>
        </is>
      </c>
      <c r="I108" s="24" t="n">
        <v>4480</v>
      </c>
      <c r="J108" s="24" t="n">
        <v>25</v>
      </c>
      <c r="K108" s="27" t="n">
        <v>4505</v>
      </c>
      <c r="L108" s="25" t="inlineStr">
        <is>
          <t>Carlos Ramírez</t>
        </is>
      </c>
    </row>
    <row r="109">
      <c r="A109" s="10" t="n">
        <v>106</v>
      </c>
      <c r="B109" s="21" t="n">
        <v>21</v>
      </c>
      <c r="C109" s="22" t="inlineStr">
        <is>
          <t>Santiago Ramírez Cruz</t>
        </is>
      </c>
      <c r="D109" s="10" t="inlineStr">
        <is>
          <t>T4 · VERDE</t>
        </is>
      </c>
      <c r="E109" s="22" t="inlineStr">
        <is>
          <t>HERIDA CON SANGRADO MODERADO</t>
        </is>
      </c>
      <c r="F109" s="21" t="n">
        <v>66</v>
      </c>
      <c r="G109" s="21" t="inlineStr">
        <is>
          <t>Adulto mayor</t>
        </is>
      </c>
      <c r="H109" s="21" t="inlineStr">
        <is>
          <t>15:20:00</t>
        </is>
      </c>
      <c r="I109" s="21" t="n">
        <v>4505</v>
      </c>
      <c r="J109" s="21" t="n">
        <v>20</v>
      </c>
      <c r="K109" s="27" t="n">
        <v>4525</v>
      </c>
      <c r="L109" s="22" t="inlineStr">
        <is>
          <t>Carlos Ramírez</t>
        </is>
      </c>
    </row>
    <row r="110">
      <c r="A110" s="10" t="n">
        <v>107</v>
      </c>
      <c r="B110" s="24" t="n">
        <v>141</v>
      </c>
      <c r="C110" s="25" t="inlineStr">
        <is>
          <t>Paula Castro Ramírez</t>
        </is>
      </c>
      <c r="D110" s="10" t="inlineStr">
        <is>
          <t>T4 · VERDE</t>
        </is>
      </c>
      <c r="E110" s="25" t="inlineStr">
        <is>
          <t>FIEBRE ALTA CON CONVULSIÓN</t>
        </is>
      </c>
      <c r="F110" s="24" t="n">
        <v>61</v>
      </c>
      <c r="G110" s="24" t="inlineStr">
        <is>
          <t>Adulto mayor</t>
        </is>
      </c>
      <c r="H110" s="24" t="inlineStr">
        <is>
          <t>16:58:00</t>
        </is>
      </c>
      <c r="I110" s="24" t="n">
        <v>4525</v>
      </c>
      <c r="J110" s="24" t="n">
        <v>25</v>
      </c>
      <c r="K110" s="27" t="n">
        <v>4550</v>
      </c>
      <c r="L110" s="25" t="inlineStr">
        <is>
          <t>Felipe Herrera</t>
        </is>
      </c>
    </row>
    <row r="111">
      <c r="A111" s="10" t="n">
        <v>108</v>
      </c>
      <c r="B111" s="21" t="n">
        <v>74</v>
      </c>
      <c r="C111" s="22" t="inlineStr">
        <is>
          <t>Paula Gómez Sánchez</t>
        </is>
      </c>
      <c r="D111" s="10" t="inlineStr">
        <is>
          <t>T4 · VERDE</t>
        </is>
      </c>
      <c r="E111" s="22" t="inlineStr">
        <is>
          <t>FIEBRE ALTA CON CONVULSIÓN</t>
        </is>
      </c>
      <c r="F111" s="21" t="n">
        <v>69</v>
      </c>
      <c r="G111" s="21" t="inlineStr">
        <is>
          <t>Adulto mayor</t>
        </is>
      </c>
      <c r="H111" s="21" t="inlineStr">
        <is>
          <t>18:10:00</t>
        </is>
      </c>
      <c r="I111" s="21" t="n">
        <v>4550</v>
      </c>
      <c r="J111" s="21" t="n">
        <v>25</v>
      </c>
      <c r="K111" s="27" t="n">
        <v>4575</v>
      </c>
      <c r="L111" s="22" t="inlineStr">
        <is>
          <t>Laura Gómez</t>
        </is>
      </c>
    </row>
    <row r="112">
      <c r="A112" s="10" t="n">
        <v>109</v>
      </c>
      <c r="B112" s="24" t="n">
        <v>60</v>
      </c>
      <c r="C112" s="25" t="inlineStr">
        <is>
          <t>Juliana Moreno Ríos</t>
        </is>
      </c>
      <c r="D112" s="10" t="inlineStr">
        <is>
          <t>T4 · VERDE</t>
        </is>
      </c>
      <c r="E112" s="25" t="inlineStr">
        <is>
          <t>HERIDA CON SANGRADO MODERADO</t>
        </is>
      </c>
      <c r="F112" s="24" t="n">
        <v>63</v>
      </c>
      <c r="G112" s="24" t="inlineStr">
        <is>
          <t>Adulto mayor</t>
        </is>
      </c>
      <c r="H112" s="24" t="inlineStr">
        <is>
          <t>18:11:00</t>
        </is>
      </c>
      <c r="I112" s="24" t="n">
        <v>4575</v>
      </c>
      <c r="J112" s="24" t="n">
        <v>20</v>
      </c>
      <c r="K112" s="27" t="n">
        <v>4595</v>
      </c>
      <c r="L112" s="25" t="inlineStr">
        <is>
          <t>Laura Gómez</t>
        </is>
      </c>
    </row>
    <row r="113">
      <c r="A113" s="10" t="n">
        <v>110</v>
      </c>
      <c r="B113" s="21" t="n">
        <v>97</v>
      </c>
      <c r="C113" s="22" t="inlineStr">
        <is>
          <t>Daniel Ramírez Alvarado</t>
        </is>
      </c>
      <c r="D113" s="10" t="inlineStr">
        <is>
          <t>T4 · VERDE</t>
        </is>
      </c>
      <c r="E113" s="22" t="inlineStr">
        <is>
          <t>HERIDA CON SANGRADO MODERADO</t>
        </is>
      </c>
      <c r="F113" s="21" t="n">
        <v>67</v>
      </c>
      <c r="G113" s="21" t="inlineStr">
        <is>
          <t>Adulto mayor</t>
        </is>
      </c>
      <c r="H113" s="21" t="inlineStr">
        <is>
          <t>18:25:00</t>
        </is>
      </c>
      <c r="I113" s="21" t="n">
        <v>4595</v>
      </c>
      <c r="J113" s="21" t="n">
        <v>20</v>
      </c>
      <c r="K113" s="27" t="n">
        <v>4615</v>
      </c>
      <c r="L113" s="22" t="inlineStr">
        <is>
          <t>Andrés Martínez</t>
        </is>
      </c>
    </row>
    <row r="114">
      <c r="A114" s="10" t="n">
        <v>111</v>
      </c>
      <c r="B114" s="24" t="n">
        <v>48</v>
      </c>
      <c r="C114" s="25" t="inlineStr">
        <is>
          <t>Jorge Morales Ospina</t>
        </is>
      </c>
      <c r="D114" s="10" t="inlineStr">
        <is>
          <t>T4 · VERDE</t>
        </is>
      </c>
      <c r="E114" s="25" t="inlineStr">
        <is>
          <t>FIEBRE ALTA CON CONVULSIÓN</t>
        </is>
      </c>
      <c r="F114" s="24" t="n">
        <v>67</v>
      </c>
      <c r="G114" s="24" t="inlineStr">
        <is>
          <t>Adulto mayor</t>
        </is>
      </c>
      <c r="H114" s="24" t="inlineStr">
        <is>
          <t>19:46:00</t>
        </is>
      </c>
      <c r="I114" s="24" t="n">
        <v>4615</v>
      </c>
      <c r="J114" s="24" t="n">
        <v>25</v>
      </c>
      <c r="K114" s="27" t="n">
        <v>4640</v>
      </c>
      <c r="L114" s="25" t="inlineStr">
        <is>
          <t>Laura Gómez</t>
        </is>
      </c>
    </row>
    <row r="115">
      <c r="A115" s="10" t="n">
        <v>112</v>
      </c>
      <c r="B115" s="21" t="n">
        <v>41</v>
      </c>
      <c r="C115" s="22" t="inlineStr">
        <is>
          <t>Juliana Pardo Castro</t>
        </is>
      </c>
      <c r="D115" s="10" t="inlineStr">
        <is>
          <t>T4 · VERDE</t>
        </is>
      </c>
      <c r="E115" s="22" t="inlineStr">
        <is>
          <t>HERIDA CON SANGRADO MODERADO</t>
        </is>
      </c>
      <c r="F115" s="21" t="n">
        <v>43</v>
      </c>
      <c r="G115" s="21" t="inlineStr">
        <is>
          <t>Adulto</t>
        </is>
      </c>
      <c r="H115" s="21" t="inlineStr">
        <is>
          <t>07:48:00</t>
        </is>
      </c>
      <c r="I115" s="21" t="n">
        <v>4640</v>
      </c>
      <c r="J115" s="21" t="n">
        <v>20</v>
      </c>
      <c r="K115" s="27" t="n">
        <v>4660</v>
      </c>
      <c r="L115" s="22" t="inlineStr">
        <is>
          <t>Felipe Herrera</t>
        </is>
      </c>
    </row>
    <row r="116">
      <c r="A116" s="10" t="n">
        <v>113</v>
      </c>
      <c r="B116" s="24" t="n">
        <v>5</v>
      </c>
      <c r="C116" s="25" t="inlineStr">
        <is>
          <t>Fernanda Ospina Cruz</t>
        </is>
      </c>
      <c r="D116" s="10" t="inlineStr">
        <is>
          <t>T4 · VERDE</t>
        </is>
      </c>
      <c r="E116" s="25" t="inlineStr">
        <is>
          <t>FIEBRE ALTA CON CONVULSIÓN</t>
        </is>
      </c>
      <c r="F116" s="24" t="n">
        <v>37</v>
      </c>
      <c r="G116" s="24" t="inlineStr">
        <is>
          <t>Adulto</t>
        </is>
      </c>
      <c r="H116" s="24" t="inlineStr">
        <is>
          <t>07:56:00</t>
        </is>
      </c>
      <c r="I116" s="24" t="n">
        <v>4660</v>
      </c>
      <c r="J116" s="24" t="n">
        <v>25</v>
      </c>
      <c r="K116" s="27" t="n">
        <v>4685</v>
      </c>
      <c r="L116" s="25" t="inlineStr">
        <is>
          <t>Felipe Herrera</t>
        </is>
      </c>
    </row>
    <row r="117">
      <c r="A117" s="10" t="n">
        <v>114</v>
      </c>
      <c r="B117" s="21" t="n">
        <v>64</v>
      </c>
      <c r="C117" s="22" t="inlineStr">
        <is>
          <t>Carlos Díaz Jiménez</t>
        </is>
      </c>
      <c r="D117" s="10" t="inlineStr">
        <is>
          <t>T4 · VERDE</t>
        </is>
      </c>
      <c r="E117" s="22" t="inlineStr">
        <is>
          <t>HERIDA CON SANGRADO MODERADO</t>
        </is>
      </c>
      <c r="F117" s="21" t="n">
        <v>59</v>
      </c>
      <c r="G117" s="21" t="inlineStr">
        <is>
          <t>Adulto</t>
        </is>
      </c>
      <c r="H117" s="21" t="inlineStr">
        <is>
          <t>08:25:00</t>
        </is>
      </c>
      <c r="I117" s="21" t="n">
        <v>4685</v>
      </c>
      <c r="J117" s="21" t="n">
        <v>20</v>
      </c>
      <c r="K117" s="27" t="n">
        <v>4705</v>
      </c>
      <c r="L117" s="22" t="inlineStr">
        <is>
          <t>Andrés Martínez</t>
        </is>
      </c>
    </row>
    <row r="118">
      <c r="A118" s="10" t="n">
        <v>115</v>
      </c>
      <c r="B118" s="24" t="n">
        <v>124</v>
      </c>
      <c r="C118" s="25" t="inlineStr">
        <is>
          <t>Paula Pardo Torres</t>
        </is>
      </c>
      <c r="D118" s="10" t="inlineStr">
        <is>
          <t>T4 · VERDE</t>
        </is>
      </c>
      <c r="E118" s="25" t="inlineStr">
        <is>
          <t>HERIDA CON SANGRADO MODERADO</t>
        </is>
      </c>
      <c r="F118" s="24" t="n">
        <v>22</v>
      </c>
      <c r="G118" s="24" t="inlineStr">
        <is>
          <t>Adulto</t>
        </is>
      </c>
      <c r="H118" s="24" t="inlineStr">
        <is>
          <t>09:23:00</t>
        </is>
      </c>
      <c r="I118" s="24" t="n">
        <v>4705</v>
      </c>
      <c r="J118" s="24" t="n">
        <v>20</v>
      </c>
      <c r="K118" s="27" t="n">
        <v>4725</v>
      </c>
      <c r="L118" s="25" t="inlineStr">
        <is>
          <t>Andrés Martínez</t>
        </is>
      </c>
    </row>
    <row r="119">
      <c r="A119" s="10" t="n">
        <v>116</v>
      </c>
      <c r="B119" s="21" t="n">
        <v>120</v>
      </c>
      <c r="C119" s="22" t="inlineStr">
        <is>
          <t>Alejandra Moreno Martínez</t>
        </is>
      </c>
      <c r="D119" s="10" t="inlineStr">
        <is>
          <t>T4 · VERDE</t>
        </is>
      </c>
      <c r="E119" s="22" t="inlineStr">
        <is>
          <t>HERIDA CON SANGRADO MODERADO</t>
        </is>
      </c>
      <c r="F119" s="21" t="n">
        <v>54</v>
      </c>
      <c r="G119" s="21" t="inlineStr">
        <is>
          <t>Adulto</t>
        </is>
      </c>
      <c r="H119" s="21" t="inlineStr">
        <is>
          <t>09:59:00</t>
        </is>
      </c>
      <c r="I119" s="21" t="n">
        <v>4725</v>
      </c>
      <c r="J119" s="21" t="n">
        <v>20</v>
      </c>
      <c r="K119" s="27" t="n">
        <v>4745</v>
      </c>
      <c r="L119" s="22" t="inlineStr">
        <is>
          <t>Felipe Herrera</t>
        </is>
      </c>
    </row>
    <row r="120">
      <c r="A120" s="10" t="n">
        <v>117</v>
      </c>
      <c r="B120" s="24" t="n">
        <v>88</v>
      </c>
      <c r="C120" s="25" t="inlineStr">
        <is>
          <t>Paula Bernal Díaz</t>
        </is>
      </c>
      <c r="D120" s="10" t="inlineStr">
        <is>
          <t>T4 · VERDE</t>
        </is>
      </c>
      <c r="E120" s="25" t="inlineStr">
        <is>
          <t>FIEBRE ALTA CON CONVULSIÓN</t>
        </is>
      </c>
      <c r="F120" s="24" t="n">
        <v>52</v>
      </c>
      <c r="G120" s="24" t="inlineStr">
        <is>
          <t>Adulto</t>
        </is>
      </c>
      <c r="H120" s="24" t="inlineStr">
        <is>
          <t>10:16:00</t>
        </is>
      </c>
      <c r="I120" s="24" t="n">
        <v>4745</v>
      </c>
      <c r="J120" s="24" t="n">
        <v>25</v>
      </c>
      <c r="K120" s="27" t="n">
        <v>4770</v>
      </c>
      <c r="L120" s="25" t="inlineStr">
        <is>
          <t>Andrés Martínez</t>
        </is>
      </c>
    </row>
    <row r="121">
      <c r="A121" s="10" t="n">
        <v>118</v>
      </c>
      <c r="B121" s="21" t="n">
        <v>107</v>
      </c>
      <c r="C121" s="22" t="inlineStr">
        <is>
          <t>Sebastián Herrera Morales</t>
        </is>
      </c>
      <c r="D121" s="10" t="inlineStr">
        <is>
          <t>T4 · VERDE</t>
        </is>
      </c>
      <c r="E121" s="22" t="inlineStr">
        <is>
          <t>FIEBRE ALTA CON CONVULSIÓN</t>
        </is>
      </c>
      <c r="F121" s="21" t="n">
        <v>39</v>
      </c>
      <c r="G121" s="21" t="inlineStr">
        <is>
          <t>Adulto</t>
        </is>
      </c>
      <c r="H121" s="21" t="inlineStr">
        <is>
          <t>11:45:00</t>
        </is>
      </c>
      <c r="I121" s="21" t="n">
        <v>4770</v>
      </c>
      <c r="J121" s="21" t="n">
        <v>25</v>
      </c>
      <c r="K121" s="27" t="n">
        <v>4795</v>
      </c>
      <c r="L121" s="22" t="inlineStr">
        <is>
          <t>Sofía Torres</t>
        </is>
      </c>
    </row>
    <row r="122">
      <c r="A122" s="10" t="n">
        <v>119</v>
      </c>
      <c r="B122" s="24" t="n">
        <v>57</v>
      </c>
      <c r="C122" s="25" t="inlineStr">
        <is>
          <t>Laura Medina Rodríguez</t>
        </is>
      </c>
      <c r="D122" s="10" t="inlineStr">
        <is>
          <t>T4 · VERDE</t>
        </is>
      </c>
      <c r="E122" s="25" t="inlineStr">
        <is>
          <t>HERIDA CON SANGRADO MODERADO</t>
        </is>
      </c>
      <c r="F122" s="24" t="n">
        <v>28</v>
      </c>
      <c r="G122" s="24" t="inlineStr">
        <is>
          <t>Adulto</t>
        </is>
      </c>
      <c r="H122" s="24" t="inlineStr">
        <is>
          <t>12:36:00</t>
        </is>
      </c>
      <c r="I122" s="24" t="n">
        <v>4795</v>
      </c>
      <c r="J122" s="24" t="n">
        <v>20</v>
      </c>
      <c r="K122" s="27" t="n">
        <v>4815</v>
      </c>
      <c r="L122" s="25" t="inlineStr">
        <is>
          <t>Sofía Torres</t>
        </is>
      </c>
    </row>
    <row r="123">
      <c r="A123" s="10" t="n">
        <v>120</v>
      </c>
      <c r="B123" s="21" t="n">
        <v>43</v>
      </c>
      <c r="C123" s="22" t="inlineStr">
        <is>
          <t>Ricardo Sánchez Ospina</t>
        </is>
      </c>
      <c r="D123" s="10" t="inlineStr">
        <is>
          <t>T4 · VERDE</t>
        </is>
      </c>
      <c r="E123" s="22" t="inlineStr">
        <is>
          <t>FIEBRE ALTA CON CONVULSIÓN</t>
        </is>
      </c>
      <c r="F123" s="21" t="n">
        <v>19</v>
      </c>
      <c r="G123" s="21" t="inlineStr">
        <is>
          <t>Adulto</t>
        </is>
      </c>
      <c r="H123" s="21" t="inlineStr">
        <is>
          <t>12:52:00</t>
        </is>
      </c>
      <c r="I123" s="21" t="n">
        <v>4815</v>
      </c>
      <c r="J123" s="21" t="n">
        <v>25</v>
      </c>
      <c r="K123" s="27" t="n">
        <v>4840</v>
      </c>
      <c r="L123" s="22" t="inlineStr">
        <is>
          <t>Sofía Torres</t>
        </is>
      </c>
    </row>
    <row r="124">
      <c r="A124" s="10" t="n">
        <v>121</v>
      </c>
      <c r="B124" s="24" t="n">
        <v>92</v>
      </c>
      <c r="C124" s="25" t="inlineStr">
        <is>
          <t>Sebastián Díaz Medina</t>
        </is>
      </c>
      <c r="D124" s="10" t="inlineStr">
        <is>
          <t>T4 · VERDE</t>
        </is>
      </c>
      <c r="E124" s="25" t="inlineStr">
        <is>
          <t>FIEBRE ALTA CON CONVULSIÓN</t>
        </is>
      </c>
      <c r="F124" s="24" t="n">
        <v>57</v>
      </c>
      <c r="G124" s="24" t="inlineStr">
        <is>
          <t>Adulto</t>
        </is>
      </c>
      <c r="H124" s="24" t="inlineStr">
        <is>
          <t>13:03:00</t>
        </is>
      </c>
      <c r="I124" s="24" t="n">
        <v>4840</v>
      </c>
      <c r="J124" s="24" t="n">
        <v>25</v>
      </c>
      <c r="K124" s="27" t="n">
        <v>4865</v>
      </c>
      <c r="L124" s="25" t="inlineStr">
        <is>
          <t>Laura Gómez</t>
        </is>
      </c>
    </row>
    <row r="125">
      <c r="A125" s="10" t="n">
        <v>122</v>
      </c>
      <c r="B125" s="21" t="n">
        <v>87</v>
      </c>
      <c r="C125" s="22" t="inlineStr">
        <is>
          <t>Miguel Sánchez Sánchez</t>
        </is>
      </c>
      <c r="D125" s="10" t="inlineStr">
        <is>
          <t>T4 · VERDE</t>
        </is>
      </c>
      <c r="E125" s="22" t="inlineStr">
        <is>
          <t>FIEBRE ALTA CON CONVULSIÓN</t>
        </is>
      </c>
      <c r="F125" s="21" t="n">
        <v>42</v>
      </c>
      <c r="G125" s="21" t="inlineStr">
        <is>
          <t>Adulto</t>
        </is>
      </c>
      <c r="H125" s="21" t="inlineStr">
        <is>
          <t>13:42:00</t>
        </is>
      </c>
      <c r="I125" s="21" t="n">
        <v>4865</v>
      </c>
      <c r="J125" s="21" t="n">
        <v>25</v>
      </c>
      <c r="K125" s="27" t="n">
        <v>4890</v>
      </c>
      <c r="L125" s="22" t="inlineStr">
        <is>
          <t>Andrés Martínez</t>
        </is>
      </c>
    </row>
    <row r="126">
      <c r="A126" s="10" t="n">
        <v>123</v>
      </c>
      <c r="B126" s="24" t="n">
        <v>108</v>
      </c>
      <c r="C126" s="25" t="inlineStr">
        <is>
          <t>Ana Moreno Sánchez</t>
        </is>
      </c>
      <c r="D126" s="10" t="inlineStr">
        <is>
          <t>T4 · VERDE</t>
        </is>
      </c>
      <c r="E126" s="25" t="inlineStr">
        <is>
          <t>FIEBRE ALTA CON CONVULSIÓN</t>
        </is>
      </c>
      <c r="F126" s="24" t="n">
        <v>26</v>
      </c>
      <c r="G126" s="24" t="inlineStr">
        <is>
          <t>Adulto</t>
        </is>
      </c>
      <c r="H126" s="24" t="inlineStr">
        <is>
          <t>13:44:00</t>
        </is>
      </c>
      <c r="I126" s="24" t="n">
        <v>4890</v>
      </c>
      <c r="J126" s="24" t="n">
        <v>25</v>
      </c>
      <c r="K126" s="27" t="n">
        <v>4915</v>
      </c>
      <c r="L126" s="25" t="inlineStr">
        <is>
          <t>Felipe Herrera</t>
        </is>
      </c>
    </row>
    <row r="127">
      <c r="A127" s="10" t="n">
        <v>124</v>
      </c>
      <c r="B127" s="21" t="n">
        <v>115</v>
      </c>
      <c r="C127" s="22" t="inlineStr">
        <is>
          <t>Santiago Vargas Cruz</t>
        </is>
      </c>
      <c r="D127" s="10" t="inlineStr">
        <is>
          <t>T4 · VERDE</t>
        </is>
      </c>
      <c r="E127" s="22" t="inlineStr">
        <is>
          <t>FIEBRE ALTA CON CONVULSIÓN</t>
        </is>
      </c>
      <c r="F127" s="21" t="n">
        <v>35</v>
      </c>
      <c r="G127" s="21" t="inlineStr">
        <is>
          <t>Adulto</t>
        </is>
      </c>
      <c r="H127" s="21" t="inlineStr">
        <is>
          <t>16:01:00</t>
        </is>
      </c>
      <c r="I127" s="21" t="n">
        <v>4915</v>
      </c>
      <c r="J127" s="21" t="n">
        <v>25</v>
      </c>
      <c r="K127" s="27" t="n">
        <v>4940</v>
      </c>
      <c r="L127" s="22" t="inlineStr">
        <is>
          <t>Andrés Martínez</t>
        </is>
      </c>
    </row>
    <row r="128">
      <c r="A128" s="10" t="n">
        <v>125</v>
      </c>
      <c r="B128" s="24" t="n">
        <v>85</v>
      </c>
      <c r="C128" s="25" t="inlineStr">
        <is>
          <t>Laura Cárdenas Sánchez</t>
        </is>
      </c>
      <c r="D128" s="10" t="inlineStr">
        <is>
          <t>T4 · VERDE</t>
        </is>
      </c>
      <c r="E128" s="25" t="inlineStr">
        <is>
          <t>FIEBRE ALTA CON CONVULSIÓN</t>
        </is>
      </c>
      <c r="F128" s="24" t="n">
        <v>27</v>
      </c>
      <c r="G128" s="24" t="inlineStr">
        <is>
          <t>Adulto</t>
        </is>
      </c>
      <c r="H128" s="24" t="inlineStr">
        <is>
          <t>16:17:00</t>
        </is>
      </c>
      <c r="I128" s="24" t="n">
        <v>4940</v>
      </c>
      <c r="J128" s="24" t="n">
        <v>25</v>
      </c>
      <c r="K128" s="27" t="n">
        <v>4965</v>
      </c>
      <c r="L128" s="25" t="inlineStr">
        <is>
          <t>Carlos Ramírez</t>
        </is>
      </c>
    </row>
    <row r="129">
      <c r="A129" s="10" t="n">
        <v>126</v>
      </c>
      <c r="B129" s="21" t="n">
        <v>133</v>
      </c>
      <c r="C129" s="22" t="inlineStr">
        <is>
          <t>Alejandro Díaz Ramírez</t>
        </is>
      </c>
      <c r="D129" s="10" t="inlineStr">
        <is>
          <t>T4 · VERDE</t>
        </is>
      </c>
      <c r="E129" s="22" t="inlineStr">
        <is>
          <t>HERIDA CON SANGRADO MODERADO</t>
        </is>
      </c>
      <c r="F129" s="21" t="n">
        <v>42</v>
      </c>
      <c r="G129" s="21" t="inlineStr">
        <is>
          <t>Adulto</t>
        </is>
      </c>
      <c r="H129" s="21" t="inlineStr">
        <is>
          <t>17:10:00</t>
        </is>
      </c>
      <c r="I129" s="21" t="n">
        <v>4965</v>
      </c>
      <c r="J129" s="21" t="n">
        <v>20</v>
      </c>
      <c r="K129" s="27" t="n">
        <v>4985</v>
      </c>
      <c r="L129" s="22" t="inlineStr">
        <is>
          <t>Sofía Torres</t>
        </is>
      </c>
    </row>
    <row r="130">
      <c r="A130" s="10" t="n">
        <v>127</v>
      </c>
      <c r="B130" s="24" t="n">
        <v>98</v>
      </c>
      <c r="C130" s="25" t="inlineStr">
        <is>
          <t>Juliana Reyes Vargas</t>
        </is>
      </c>
      <c r="D130" s="10" t="inlineStr">
        <is>
          <t>T4 · VERDE</t>
        </is>
      </c>
      <c r="E130" s="25" t="inlineStr">
        <is>
          <t>HERIDA CON SANGRADO MODERADO</t>
        </is>
      </c>
      <c r="F130" s="24" t="n">
        <v>40</v>
      </c>
      <c r="G130" s="24" t="inlineStr">
        <is>
          <t>Adulto</t>
        </is>
      </c>
      <c r="H130" s="24" t="inlineStr">
        <is>
          <t>18:39:00</t>
        </is>
      </c>
      <c r="I130" s="24" t="n">
        <v>4985</v>
      </c>
      <c r="J130" s="24" t="n">
        <v>20</v>
      </c>
      <c r="K130" s="27" t="n">
        <v>5005</v>
      </c>
      <c r="L130" s="25" t="inlineStr">
        <is>
          <t>Sofía Torres</t>
        </is>
      </c>
    </row>
    <row r="131">
      <c r="A131" s="10" t="n">
        <v>128</v>
      </c>
      <c r="B131" s="21" t="n">
        <v>118</v>
      </c>
      <c r="C131" s="22" t="inlineStr">
        <is>
          <t>Alejandro Cruz Vargas</t>
        </is>
      </c>
      <c r="D131" s="10" t="inlineStr">
        <is>
          <t>T4 · VERDE</t>
        </is>
      </c>
      <c r="E131" s="22" t="inlineStr">
        <is>
          <t>HERIDA CON SANGRADO MODERADO</t>
        </is>
      </c>
      <c r="F131" s="21" t="n">
        <v>23</v>
      </c>
      <c r="G131" s="21" t="inlineStr">
        <is>
          <t>Adulto</t>
        </is>
      </c>
      <c r="H131" s="21" t="inlineStr">
        <is>
          <t>20:34:00</t>
        </is>
      </c>
      <c r="I131" s="21" t="n">
        <v>5005</v>
      </c>
      <c r="J131" s="21" t="n">
        <v>20</v>
      </c>
      <c r="K131" s="27" t="n">
        <v>5025</v>
      </c>
      <c r="L131" s="22" t="inlineStr">
        <is>
          <t>Carlos Ramírez</t>
        </is>
      </c>
    </row>
    <row r="132">
      <c r="A132" s="9" t="n">
        <v>129</v>
      </c>
      <c r="B132" s="24" t="n">
        <v>146</v>
      </c>
      <c r="C132" s="25" t="inlineStr">
        <is>
          <t>Felipe Ríos Castro</t>
        </is>
      </c>
      <c r="D132" s="9" t="inlineStr">
        <is>
          <t>T5 · AZUL</t>
        </is>
      </c>
      <c r="E132" s="25" t="inlineStr">
        <is>
          <t>DOLOR LEVE / MALESTAR GENERAL</t>
        </is>
      </c>
      <c r="F132" s="24" t="n">
        <v>87</v>
      </c>
      <c r="G132" s="24" t="inlineStr">
        <is>
          <t>Anciano</t>
        </is>
      </c>
      <c r="H132" s="24" t="inlineStr">
        <is>
          <t>07:14:00</t>
        </is>
      </c>
      <c r="I132" s="24" t="n">
        <v>5025</v>
      </c>
      <c r="J132" s="24" t="n">
        <v>15</v>
      </c>
      <c r="K132" s="27" t="n">
        <v>5040</v>
      </c>
      <c r="L132" s="25" t="inlineStr">
        <is>
          <t>Carlos Ramírez</t>
        </is>
      </c>
    </row>
    <row r="133">
      <c r="A133" s="9" t="n">
        <v>130</v>
      </c>
      <c r="B133" s="21" t="n">
        <v>112</v>
      </c>
      <c r="C133" s="22" t="inlineStr">
        <is>
          <t>Laura Ríos Cruz</t>
        </is>
      </c>
      <c r="D133" s="9" t="inlineStr">
        <is>
          <t>T5 · AZUL</t>
        </is>
      </c>
      <c r="E133" s="22" t="inlineStr">
        <is>
          <t>DOLOR LEVE / MALESTAR GENERAL</t>
        </is>
      </c>
      <c r="F133" s="21" t="n">
        <v>77</v>
      </c>
      <c r="G133" s="21" t="inlineStr">
        <is>
          <t>Anciano</t>
        </is>
      </c>
      <c r="H133" s="21" t="inlineStr">
        <is>
          <t>08:18:00</t>
        </is>
      </c>
      <c r="I133" s="21" t="n">
        <v>5040</v>
      </c>
      <c r="J133" s="21" t="n">
        <v>15</v>
      </c>
      <c r="K133" s="27" t="n">
        <v>5055</v>
      </c>
      <c r="L133" s="22" t="inlineStr">
        <is>
          <t>Carlos Ramírez</t>
        </is>
      </c>
    </row>
    <row r="134">
      <c r="A134" s="9" t="n">
        <v>131</v>
      </c>
      <c r="B134" s="24" t="n">
        <v>145</v>
      </c>
      <c r="C134" s="25" t="inlineStr">
        <is>
          <t>Alejandro Vargas Muñoz</t>
        </is>
      </c>
      <c r="D134" s="9" t="inlineStr">
        <is>
          <t>T5 · AZUL</t>
        </is>
      </c>
      <c r="E134" s="25" t="inlineStr">
        <is>
          <t>CONSULTA MENOR (GRIPE, TOS)</t>
        </is>
      </c>
      <c r="F134" s="24" t="n">
        <v>82</v>
      </c>
      <c r="G134" s="24" t="inlineStr">
        <is>
          <t>Anciano</t>
        </is>
      </c>
      <c r="H134" s="24" t="inlineStr">
        <is>
          <t>09:03:00</t>
        </is>
      </c>
      <c r="I134" s="24" t="n">
        <v>5055</v>
      </c>
      <c r="J134" s="24" t="n">
        <v>10</v>
      </c>
      <c r="K134" s="27" t="n">
        <v>5065</v>
      </c>
      <c r="L134" s="25" t="inlineStr">
        <is>
          <t>Laura Gómez</t>
        </is>
      </c>
    </row>
    <row r="135">
      <c r="A135" s="9" t="n">
        <v>132</v>
      </c>
      <c r="B135" s="21" t="n">
        <v>9</v>
      </c>
      <c r="C135" s="22" t="inlineStr">
        <is>
          <t>Fernanda Ospina Muñoz</t>
        </is>
      </c>
      <c r="D135" s="9" t="inlineStr">
        <is>
          <t>T5 · AZUL</t>
        </is>
      </c>
      <c r="E135" s="22" t="inlineStr">
        <is>
          <t>DOLOR LEVE / MALESTAR GENERAL</t>
        </is>
      </c>
      <c r="F135" s="21" t="n">
        <v>75</v>
      </c>
      <c r="G135" s="21" t="inlineStr">
        <is>
          <t>Anciano</t>
        </is>
      </c>
      <c r="H135" s="21" t="inlineStr">
        <is>
          <t>11:37:00</t>
        </is>
      </c>
      <c r="I135" s="21" t="n">
        <v>5065</v>
      </c>
      <c r="J135" s="21" t="n">
        <v>15</v>
      </c>
      <c r="K135" s="27" t="n">
        <v>5080</v>
      </c>
      <c r="L135" s="22" t="inlineStr">
        <is>
          <t>Andrés Martínez</t>
        </is>
      </c>
    </row>
    <row r="136">
      <c r="A136" s="9" t="n">
        <v>133</v>
      </c>
      <c r="B136" s="24" t="n">
        <v>33</v>
      </c>
      <c r="C136" s="25" t="inlineStr">
        <is>
          <t>Carlos Reyes Ospina</t>
        </is>
      </c>
      <c r="D136" s="9" t="inlineStr">
        <is>
          <t>T5 · AZUL</t>
        </is>
      </c>
      <c r="E136" s="25" t="inlineStr">
        <is>
          <t>CONSULTA MENOR (GRIPE, TOS)</t>
        </is>
      </c>
      <c r="F136" s="24" t="n">
        <v>81</v>
      </c>
      <c r="G136" s="24" t="inlineStr">
        <is>
          <t>Anciano</t>
        </is>
      </c>
      <c r="H136" s="24" t="inlineStr">
        <is>
          <t>12:02:00</t>
        </is>
      </c>
      <c r="I136" s="24" t="n">
        <v>5080</v>
      </c>
      <c r="J136" s="24" t="n">
        <v>10</v>
      </c>
      <c r="K136" s="27" t="n">
        <v>5090</v>
      </c>
      <c r="L136" s="25" t="inlineStr">
        <is>
          <t>Sofía Torres</t>
        </is>
      </c>
    </row>
    <row r="137">
      <c r="A137" s="9" t="n">
        <v>134</v>
      </c>
      <c r="B137" s="21" t="n">
        <v>38</v>
      </c>
      <c r="C137" s="22" t="inlineStr">
        <is>
          <t>Isabella Vargas Ospina</t>
        </is>
      </c>
      <c r="D137" s="9" t="inlineStr">
        <is>
          <t>T5 · AZUL</t>
        </is>
      </c>
      <c r="E137" s="22" t="inlineStr">
        <is>
          <t>CONSULTA MENOR (GRIPE, TOS)</t>
        </is>
      </c>
      <c r="F137" s="21" t="n">
        <v>0</v>
      </c>
      <c r="G137" s="21" t="inlineStr">
        <is>
          <t>Neonato</t>
        </is>
      </c>
      <c r="H137" s="21" t="inlineStr">
        <is>
          <t>14:41:00</t>
        </is>
      </c>
      <c r="I137" s="21" t="n">
        <v>5090</v>
      </c>
      <c r="J137" s="21" t="n">
        <v>10</v>
      </c>
      <c r="K137" s="27" t="n">
        <v>5100</v>
      </c>
      <c r="L137" s="22" t="inlineStr">
        <is>
          <t>Felipe Herrera</t>
        </is>
      </c>
    </row>
    <row r="138">
      <c r="A138" s="9" t="n">
        <v>135</v>
      </c>
      <c r="B138" s="24" t="n">
        <v>134</v>
      </c>
      <c r="C138" s="25" t="inlineStr">
        <is>
          <t>Juan Alvarado Vargas</t>
        </is>
      </c>
      <c r="D138" s="9" t="inlineStr">
        <is>
          <t>T5 · AZUL</t>
        </is>
      </c>
      <c r="E138" s="25" t="inlineStr">
        <is>
          <t>CONSULTA MENOR (GRIPE, TOS)</t>
        </is>
      </c>
      <c r="F138" s="24" t="n">
        <v>86</v>
      </c>
      <c r="G138" s="24" t="inlineStr">
        <is>
          <t>Anciano</t>
        </is>
      </c>
      <c r="H138" s="24" t="inlineStr">
        <is>
          <t>14:46:00</t>
        </is>
      </c>
      <c r="I138" s="24" t="n">
        <v>5100</v>
      </c>
      <c r="J138" s="24" t="n">
        <v>10</v>
      </c>
      <c r="K138" s="27" t="n">
        <v>5110</v>
      </c>
      <c r="L138" s="25" t="inlineStr">
        <is>
          <t>Andrés Martínez</t>
        </is>
      </c>
    </row>
    <row r="139">
      <c r="A139" s="9" t="n">
        <v>136</v>
      </c>
      <c r="B139" s="21" t="n">
        <v>4</v>
      </c>
      <c r="C139" s="22" t="inlineStr">
        <is>
          <t>Valentina Castro Martínez</t>
        </is>
      </c>
      <c r="D139" s="9" t="inlineStr">
        <is>
          <t>T5 · AZUL</t>
        </is>
      </c>
      <c r="E139" s="22" t="inlineStr">
        <is>
          <t>DOLOR LEVE / MALESTAR GENERAL</t>
        </is>
      </c>
      <c r="F139" s="21" t="n">
        <v>77</v>
      </c>
      <c r="G139" s="21" t="inlineStr">
        <is>
          <t>Anciano</t>
        </is>
      </c>
      <c r="H139" s="21" t="inlineStr">
        <is>
          <t>17:43:00</t>
        </is>
      </c>
      <c r="I139" s="21" t="n">
        <v>5110</v>
      </c>
      <c r="J139" s="21" t="n">
        <v>15</v>
      </c>
      <c r="K139" s="27" t="n">
        <v>5125</v>
      </c>
      <c r="L139" s="22" t="inlineStr">
        <is>
          <t>Sofía Torres</t>
        </is>
      </c>
    </row>
    <row r="140">
      <c r="A140" s="9" t="n">
        <v>137</v>
      </c>
      <c r="B140" s="24" t="n">
        <v>111</v>
      </c>
      <c r="C140" s="25" t="inlineStr">
        <is>
          <t>María Martínez Vargas</t>
        </is>
      </c>
      <c r="D140" s="9" t="inlineStr">
        <is>
          <t>T5 · AZUL</t>
        </is>
      </c>
      <c r="E140" s="25" t="inlineStr">
        <is>
          <t>CONSULTA MENOR (GRIPE, TOS)</t>
        </is>
      </c>
      <c r="F140" s="24" t="n">
        <v>5</v>
      </c>
      <c r="G140" s="24" t="inlineStr">
        <is>
          <t>Infante</t>
        </is>
      </c>
      <c r="H140" s="24" t="inlineStr">
        <is>
          <t>10:43:00</t>
        </is>
      </c>
      <c r="I140" s="24" t="n">
        <v>5125</v>
      </c>
      <c r="J140" s="24" t="n">
        <v>10</v>
      </c>
      <c r="K140" s="27" t="n">
        <v>5135</v>
      </c>
      <c r="L140" s="25" t="inlineStr">
        <is>
          <t>Felipe Herrera</t>
        </is>
      </c>
    </row>
    <row r="141">
      <c r="A141" s="9" t="n">
        <v>138</v>
      </c>
      <c r="B141" s="21" t="n">
        <v>86</v>
      </c>
      <c r="C141" s="22" t="inlineStr">
        <is>
          <t>Juan Bernal Pardo</t>
        </is>
      </c>
      <c r="D141" s="9" t="inlineStr">
        <is>
          <t>T5 · AZUL</t>
        </is>
      </c>
      <c r="E141" s="22" t="inlineStr">
        <is>
          <t>DOLOR LEVE / MALESTAR GENERAL</t>
        </is>
      </c>
      <c r="F141" s="21" t="n">
        <v>3</v>
      </c>
      <c r="G141" s="21" t="inlineStr">
        <is>
          <t>Infante</t>
        </is>
      </c>
      <c r="H141" s="21" t="inlineStr">
        <is>
          <t>13:49:00</t>
        </is>
      </c>
      <c r="I141" s="21" t="n">
        <v>5135</v>
      </c>
      <c r="J141" s="21" t="n">
        <v>15</v>
      </c>
      <c r="K141" s="27" t="n">
        <v>5150</v>
      </c>
      <c r="L141" s="22" t="inlineStr">
        <is>
          <t>Carlos Ramírez</t>
        </is>
      </c>
    </row>
    <row r="142">
      <c r="A142" s="9" t="n">
        <v>139</v>
      </c>
      <c r="B142" s="24" t="n">
        <v>10</v>
      </c>
      <c r="C142" s="25" t="inlineStr">
        <is>
          <t>Alejandra Rodríguez Moreno</t>
        </is>
      </c>
      <c r="D142" s="9" t="inlineStr">
        <is>
          <t>T5 · AZUL</t>
        </is>
      </c>
      <c r="E142" s="25" t="inlineStr">
        <is>
          <t>CONSULTA MENOR (GRIPE, TOS)</t>
        </is>
      </c>
      <c r="F142" s="24" t="n">
        <v>69</v>
      </c>
      <c r="G142" s="24" t="inlineStr">
        <is>
          <t>Adulto mayor</t>
        </is>
      </c>
      <c r="H142" s="24" t="inlineStr">
        <is>
          <t>17:03:00</t>
        </is>
      </c>
      <c r="I142" s="24" t="n">
        <v>5150</v>
      </c>
      <c r="J142" s="24" t="n">
        <v>10</v>
      </c>
      <c r="K142" s="27" t="n">
        <v>5160</v>
      </c>
      <c r="L142" s="25" t="inlineStr">
        <is>
          <t>Carlos Ramírez</t>
        </is>
      </c>
    </row>
    <row r="143">
      <c r="A143" s="9" t="n">
        <v>140</v>
      </c>
      <c r="B143" s="21" t="n">
        <v>105</v>
      </c>
      <c r="C143" s="22" t="inlineStr">
        <is>
          <t>Daniela Martínez Alvarado</t>
        </is>
      </c>
      <c r="D143" s="9" t="inlineStr">
        <is>
          <t>T5 · AZUL</t>
        </is>
      </c>
      <c r="E143" s="22" t="inlineStr">
        <is>
          <t>CONSULTA MENOR (GRIPE, TOS)</t>
        </is>
      </c>
      <c r="F143" s="21" t="n">
        <v>70</v>
      </c>
      <c r="G143" s="21" t="inlineStr">
        <is>
          <t>Adulto mayor</t>
        </is>
      </c>
      <c r="H143" s="21" t="inlineStr">
        <is>
          <t>18:26:00</t>
        </is>
      </c>
      <c r="I143" s="21" t="n">
        <v>5160</v>
      </c>
      <c r="J143" s="21" t="n">
        <v>10</v>
      </c>
      <c r="K143" s="27" t="n">
        <v>5170</v>
      </c>
      <c r="L143" s="22" t="inlineStr">
        <is>
          <t>Carlos Ramírez</t>
        </is>
      </c>
    </row>
    <row r="144">
      <c r="A144" s="9" t="n">
        <v>141</v>
      </c>
      <c r="B144" s="24" t="n">
        <v>106</v>
      </c>
      <c r="C144" s="25" t="inlineStr">
        <is>
          <t>Nicolás Vargas Morales</t>
        </is>
      </c>
      <c r="D144" s="9" t="inlineStr">
        <is>
          <t>T5 · AZUL</t>
        </is>
      </c>
      <c r="E144" s="25" t="inlineStr">
        <is>
          <t>DOLOR LEVE / MALESTAR GENERAL</t>
        </is>
      </c>
      <c r="F144" s="24" t="n">
        <v>44</v>
      </c>
      <c r="G144" s="24" t="inlineStr">
        <is>
          <t>Adulto</t>
        </is>
      </c>
      <c r="H144" s="24" t="inlineStr">
        <is>
          <t>07:29:00</t>
        </is>
      </c>
      <c r="I144" s="24" t="n">
        <v>5170</v>
      </c>
      <c r="J144" s="24" t="n">
        <v>15</v>
      </c>
      <c r="K144" s="27" t="n">
        <v>5185</v>
      </c>
      <c r="L144" s="25" t="inlineStr">
        <is>
          <t>Laura Gómez</t>
        </is>
      </c>
    </row>
    <row r="145">
      <c r="A145" s="9" t="n">
        <v>142</v>
      </c>
      <c r="B145" s="21" t="n">
        <v>121</v>
      </c>
      <c r="C145" s="22" t="inlineStr">
        <is>
          <t>María Cárdenas Vargas</t>
        </is>
      </c>
      <c r="D145" s="9" t="inlineStr">
        <is>
          <t>T5 · AZUL</t>
        </is>
      </c>
      <c r="E145" s="22" t="inlineStr">
        <is>
          <t>DOLOR LEVE / MALESTAR GENERAL</t>
        </is>
      </c>
      <c r="F145" s="21" t="n">
        <v>58</v>
      </c>
      <c r="G145" s="21" t="inlineStr">
        <is>
          <t>Adulto</t>
        </is>
      </c>
      <c r="H145" s="21" t="inlineStr">
        <is>
          <t>07:42:00</t>
        </is>
      </c>
      <c r="I145" s="21" t="n">
        <v>5185</v>
      </c>
      <c r="J145" s="21" t="n">
        <v>15</v>
      </c>
      <c r="K145" s="27" t="n">
        <v>5200</v>
      </c>
      <c r="L145" s="22" t="inlineStr">
        <is>
          <t>Sofía Torres</t>
        </is>
      </c>
    </row>
    <row r="146">
      <c r="A146" s="9" t="n">
        <v>143</v>
      </c>
      <c r="B146" s="24" t="n">
        <v>6</v>
      </c>
      <c r="C146" s="25" t="inlineStr">
        <is>
          <t>Valentina García Rodríguez</t>
        </is>
      </c>
      <c r="D146" s="9" t="inlineStr">
        <is>
          <t>T5 · AZUL</t>
        </is>
      </c>
      <c r="E146" s="25" t="inlineStr">
        <is>
          <t>DOLOR LEVE / MALESTAR GENERAL</t>
        </is>
      </c>
      <c r="F146" s="24" t="n">
        <v>51</v>
      </c>
      <c r="G146" s="24" t="inlineStr">
        <is>
          <t>Adulto</t>
        </is>
      </c>
      <c r="H146" s="24" t="inlineStr">
        <is>
          <t>08:00:00</t>
        </is>
      </c>
      <c r="I146" s="24" t="n">
        <v>5200</v>
      </c>
      <c r="J146" s="24" t="n">
        <v>15</v>
      </c>
      <c r="K146" s="27" t="n">
        <v>5215</v>
      </c>
      <c r="L146" s="25" t="inlineStr">
        <is>
          <t>Felipe Herrera</t>
        </is>
      </c>
    </row>
    <row r="147">
      <c r="A147" s="9" t="n">
        <v>144</v>
      </c>
      <c r="B147" s="21" t="n">
        <v>67</v>
      </c>
      <c r="C147" s="22" t="inlineStr">
        <is>
          <t>Alejandra Herrera Moreno</t>
        </is>
      </c>
      <c r="D147" s="9" t="inlineStr">
        <is>
          <t>T5 · AZUL</t>
        </is>
      </c>
      <c r="E147" s="22" t="inlineStr">
        <is>
          <t>DOLOR LEVE / MALESTAR GENERAL</t>
        </is>
      </c>
      <c r="F147" s="21" t="n">
        <v>22</v>
      </c>
      <c r="G147" s="21" t="inlineStr">
        <is>
          <t>Adulto</t>
        </is>
      </c>
      <c r="H147" s="21" t="inlineStr">
        <is>
          <t>08:42:00</t>
        </is>
      </c>
      <c r="I147" s="21" t="n">
        <v>5215</v>
      </c>
      <c r="J147" s="21" t="n">
        <v>15</v>
      </c>
      <c r="K147" s="27" t="n">
        <v>5230</v>
      </c>
      <c r="L147" s="22" t="inlineStr">
        <is>
          <t>Felipe Herrera</t>
        </is>
      </c>
    </row>
    <row r="148">
      <c r="A148" s="9" t="n">
        <v>145</v>
      </c>
      <c r="B148" s="24" t="n">
        <v>44</v>
      </c>
      <c r="C148" s="25" t="inlineStr">
        <is>
          <t>Andrés Medina Cárdenas</t>
        </is>
      </c>
      <c r="D148" s="9" t="inlineStr">
        <is>
          <t>T5 · AZUL</t>
        </is>
      </c>
      <c r="E148" s="25" t="inlineStr">
        <is>
          <t>CONSULTA MENOR (GRIPE, TOS)</t>
        </is>
      </c>
      <c r="F148" s="24" t="n">
        <v>20</v>
      </c>
      <c r="G148" s="24" t="inlineStr">
        <is>
          <t>Adulto</t>
        </is>
      </c>
      <c r="H148" s="24" t="inlineStr">
        <is>
          <t>09:51:00</t>
        </is>
      </c>
      <c r="I148" s="24" t="n">
        <v>5230</v>
      </c>
      <c r="J148" s="24" t="n">
        <v>10</v>
      </c>
      <c r="K148" s="27" t="n">
        <v>5240</v>
      </c>
      <c r="L148" s="25" t="inlineStr">
        <is>
          <t>Sofía Torres</t>
        </is>
      </c>
    </row>
    <row r="149">
      <c r="A149" s="9" t="n">
        <v>146</v>
      </c>
      <c r="B149" s="21" t="n">
        <v>76</v>
      </c>
      <c r="C149" s="22" t="inlineStr">
        <is>
          <t>Daniela Alvarado Torres</t>
        </is>
      </c>
      <c r="D149" s="9" t="inlineStr">
        <is>
          <t>T5 · AZUL</t>
        </is>
      </c>
      <c r="E149" s="22" t="inlineStr">
        <is>
          <t>DOLOR LEVE / MALESTAR GENERAL</t>
        </is>
      </c>
      <c r="F149" s="21" t="n">
        <v>42</v>
      </c>
      <c r="G149" s="21" t="inlineStr">
        <is>
          <t>Adulto</t>
        </is>
      </c>
      <c r="H149" s="21" t="inlineStr">
        <is>
          <t>10:19:00</t>
        </is>
      </c>
      <c r="I149" s="21" t="n">
        <v>5240</v>
      </c>
      <c r="J149" s="21" t="n">
        <v>15</v>
      </c>
      <c r="K149" s="27" t="n">
        <v>5255</v>
      </c>
      <c r="L149" s="22" t="inlineStr">
        <is>
          <t>Carlos Ramírez</t>
        </is>
      </c>
    </row>
    <row r="150">
      <c r="A150" s="9" t="n">
        <v>147</v>
      </c>
      <c r="B150" s="24" t="n">
        <v>13</v>
      </c>
      <c r="C150" s="25" t="inlineStr">
        <is>
          <t>Claudia Gómez Castro</t>
        </is>
      </c>
      <c r="D150" s="9" t="inlineStr">
        <is>
          <t>T5 · AZUL</t>
        </is>
      </c>
      <c r="E150" s="25" t="inlineStr">
        <is>
          <t>CONSULTA MENOR (GRIPE, TOS)</t>
        </is>
      </c>
      <c r="F150" s="24" t="n">
        <v>29</v>
      </c>
      <c r="G150" s="24" t="inlineStr">
        <is>
          <t>Adulto</t>
        </is>
      </c>
      <c r="H150" s="24" t="inlineStr">
        <is>
          <t>16:27:00</t>
        </is>
      </c>
      <c r="I150" s="24" t="n">
        <v>5255</v>
      </c>
      <c r="J150" s="24" t="n">
        <v>10</v>
      </c>
      <c r="K150" s="27" t="n">
        <v>5265</v>
      </c>
      <c r="L150" s="25" t="inlineStr">
        <is>
          <t>Laura Gómez</t>
        </is>
      </c>
    </row>
    <row r="151">
      <c r="A151" s="9" t="n">
        <v>148</v>
      </c>
      <c r="B151" s="21" t="n">
        <v>75</v>
      </c>
      <c r="C151" s="22" t="inlineStr">
        <is>
          <t>Andrés Cruz García</t>
        </is>
      </c>
      <c r="D151" s="9" t="inlineStr">
        <is>
          <t>T5 · AZUL</t>
        </is>
      </c>
      <c r="E151" s="22" t="inlineStr">
        <is>
          <t>DOLOR LEVE / MALESTAR GENERAL</t>
        </is>
      </c>
      <c r="F151" s="21" t="n">
        <v>58</v>
      </c>
      <c r="G151" s="21" t="inlineStr">
        <is>
          <t>Adulto</t>
        </is>
      </c>
      <c r="H151" s="21" t="inlineStr">
        <is>
          <t>16:30:00</t>
        </is>
      </c>
      <c r="I151" s="21" t="n">
        <v>5265</v>
      </c>
      <c r="J151" s="21" t="n">
        <v>15</v>
      </c>
      <c r="K151" s="27" t="n">
        <v>5280</v>
      </c>
      <c r="L151" s="22" t="inlineStr">
        <is>
          <t>Andrés Martínez</t>
        </is>
      </c>
    </row>
    <row r="152">
      <c r="A152" s="9" t="n">
        <v>149</v>
      </c>
      <c r="B152" s="24" t="n">
        <v>142</v>
      </c>
      <c r="C152" s="25" t="inlineStr">
        <is>
          <t>Mariana Muñoz Ramírez</t>
        </is>
      </c>
      <c r="D152" s="9" t="inlineStr">
        <is>
          <t>T5 · AZUL</t>
        </is>
      </c>
      <c r="E152" s="25" t="inlineStr">
        <is>
          <t>CONSULTA MENOR (GRIPE, TOS)</t>
        </is>
      </c>
      <c r="F152" s="24" t="n">
        <v>47</v>
      </c>
      <c r="G152" s="24" t="inlineStr">
        <is>
          <t>Adulto</t>
        </is>
      </c>
      <c r="H152" s="24" t="inlineStr">
        <is>
          <t>16:30:00</t>
        </is>
      </c>
      <c r="I152" s="24" t="n">
        <v>5280</v>
      </c>
      <c r="J152" s="24" t="n">
        <v>10</v>
      </c>
      <c r="K152" s="27" t="n">
        <v>5290</v>
      </c>
      <c r="L152" s="25" t="inlineStr">
        <is>
          <t>Andrés Martínez</t>
        </is>
      </c>
    </row>
    <row r="153">
      <c r="A153" s="9" t="n">
        <v>150</v>
      </c>
      <c r="B153" s="21" t="n">
        <v>138</v>
      </c>
      <c r="C153" s="22" t="inlineStr">
        <is>
          <t>Mariana Cárdenas Ospina</t>
        </is>
      </c>
      <c r="D153" s="9" t="inlineStr">
        <is>
          <t>T5 · AZUL</t>
        </is>
      </c>
      <c r="E153" s="22" t="inlineStr">
        <is>
          <t>DOLOR LEVE / MALESTAR GENERAL</t>
        </is>
      </c>
      <c r="F153" s="21" t="n">
        <v>13</v>
      </c>
      <c r="G153" s="21" t="inlineStr">
        <is>
          <t>Menor de edad</t>
        </is>
      </c>
      <c r="H153" s="21" t="inlineStr">
        <is>
          <t>16:54:00</t>
        </is>
      </c>
      <c r="I153" s="21" t="n">
        <v>5290</v>
      </c>
      <c r="J153" s="21" t="n">
        <v>15</v>
      </c>
      <c r="K153" s="27" t="n">
        <v>5305</v>
      </c>
      <c r="L153" s="22" t="inlineStr">
        <is>
          <t>Laura Gómez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3" customWidth="1" min="5" max="5"/>
    <col width="11" customWidth="1" min="6" max="6"/>
    <col width="10" customWidth="1" min="7" max="7"/>
    <col width="10" customWidth="1" min="8" max="8"/>
  </cols>
  <sheetData>
    <row r="1">
      <c r="A1" s="12" t="inlineStr">
        <is>
          <t>ANÁLISIS DE HORAS PICO — DISTRIBUCIÓN TEMPORAL DE LLEGADAS</t>
        </is>
      </c>
    </row>
    <row r="3">
      <c r="A3" s="15" t="inlineStr">
        <is>
          <t>LLEGADAS POR HORA DEL DÍA</t>
        </is>
      </c>
    </row>
    <row r="4">
      <c r="A4" s="3" t="inlineStr">
        <is>
          <t>HORA</t>
        </is>
      </c>
      <c r="B4" s="3" t="inlineStr">
        <is>
          <t>TOTAL</t>
        </is>
      </c>
      <c r="C4" s="3" t="inlineStr">
        <is>
          <t>T1 ROJO</t>
        </is>
      </c>
      <c r="D4" s="3" t="inlineStr">
        <is>
          <t>T2 NARANJA</t>
        </is>
      </c>
      <c r="E4" s="3" t="inlineStr">
        <is>
          <t>T3 AMARILLO</t>
        </is>
      </c>
      <c r="F4" s="3" t="inlineStr">
        <is>
          <t>T4 VERDE</t>
        </is>
      </c>
      <c r="G4" s="3" t="inlineStr">
        <is>
          <t>T5 AZUL</t>
        </is>
      </c>
      <c r="H4" s="3" t="inlineStr">
        <is>
          <t>% DEL DÍA</t>
        </is>
      </c>
    </row>
    <row r="5">
      <c r="A5" s="28" t="inlineStr">
        <is>
          <t>06:00 - 07:00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inlineStr">
        <is>
          <t>0.0%</t>
        </is>
      </c>
    </row>
    <row r="6">
      <c r="A6" s="29" t="inlineStr">
        <is>
          <t>07:00 - 08:00</t>
        </is>
      </c>
      <c r="B6" s="30" t="n">
        <v>11</v>
      </c>
      <c r="C6" s="31" t="n">
        <v>1</v>
      </c>
      <c r="D6" s="32" t="n">
        <v>2</v>
      </c>
      <c r="E6" s="33" t="n">
        <v>1</v>
      </c>
      <c r="F6" s="34" t="n">
        <v>4</v>
      </c>
      <c r="G6" s="24" t="n">
        <v>3</v>
      </c>
      <c r="H6" s="35" t="inlineStr">
        <is>
          <t>7.3%</t>
        </is>
      </c>
    </row>
    <row r="7">
      <c r="A7" s="29" t="inlineStr">
        <is>
          <t>08:00 - 09:00</t>
        </is>
      </c>
      <c r="B7" s="30" t="n">
        <v>12</v>
      </c>
      <c r="C7" s="36" t="n">
        <v>0</v>
      </c>
      <c r="D7" s="32" t="n">
        <v>1</v>
      </c>
      <c r="E7" s="33" t="n">
        <v>4</v>
      </c>
      <c r="F7" s="34" t="n">
        <v>4</v>
      </c>
      <c r="G7" s="24" t="n">
        <v>3</v>
      </c>
      <c r="H7" s="35" t="inlineStr">
        <is>
          <t>8.0%</t>
        </is>
      </c>
    </row>
    <row r="8">
      <c r="A8" s="29" t="inlineStr">
        <is>
          <t>09:00 - 10:00</t>
        </is>
      </c>
      <c r="B8" s="30" t="n">
        <v>11</v>
      </c>
      <c r="C8" s="31" t="n">
        <v>3</v>
      </c>
      <c r="D8" s="36" t="n">
        <v>0</v>
      </c>
      <c r="E8" s="33" t="n">
        <v>3</v>
      </c>
      <c r="F8" s="34" t="n">
        <v>3</v>
      </c>
      <c r="G8" s="24" t="n">
        <v>2</v>
      </c>
      <c r="H8" s="35" t="inlineStr">
        <is>
          <t>7.3%</t>
        </is>
      </c>
    </row>
    <row r="9">
      <c r="A9" s="29" t="inlineStr">
        <is>
          <t>10:00 - 11:00</t>
        </is>
      </c>
      <c r="B9" s="30" t="n">
        <v>8</v>
      </c>
      <c r="C9" s="36" t="n">
        <v>0</v>
      </c>
      <c r="D9" s="36" t="n">
        <v>0</v>
      </c>
      <c r="E9" s="33" t="n">
        <v>2</v>
      </c>
      <c r="F9" s="34" t="n">
        <v>4</v>
      </c>
      <c r="G9" s="24" t="n">
        <v>2</v>
      </c>
      <c r="H9" s="35" t="inlineStr">
        <is>
          <t>5.3%</t>
        </is>
      </c>
    </row>
    <row r="10">
      <c r="A10" s="29" t="inlineStr">
        <is>
          <t>11:00 - 12:00</t>
        </is>
      </c>
      <c r="B10" s="30" t="n">
        <v>3</v>
      </c>
      <c r="C10" s="36" t="n">
        <v>0</v>
      </c>
      <c r="D10" s="36" t="n">
        <v>0</v>
      </c>
      <c r="E10" s="33" t="n">
        <v>1</v>
      </c>
      <c r="F10" s="34" t="n">
        <v>1</v>
      </c>
      <c r="G10" s="24" t="n">
        <v>1</v>
      </c>
      <c r="H10" s="35" t="inlineStr">
        <is>
          <t>2.0%</t>
        </is>
      </c>
    </row>
    <row r="11">
      <c r="A11" s="29" t="inlineStr">
        <is>
          <t>12:00 - 13:00</t>
        </is>
      </c>
      <c r="B11" s="30" t="n">
        <v>13</v>
      </c>
      <c r="C11" s="36" t="n">
        <v>0</v>
      </c>
      <c r="D11" s="32" t="n">
        <v>5</v>
      </c>
      <c r="E11" s="33" t="n">
        <v>1</v>
      </c>
      <c r="F11" s="34" t="n">
        <v>6</v>
      </c>
      <c r="G11" s="24" t="n">
        <v>1</v>
      </c>
      <c r="H11" s="35" t="inlineStr">
        <is>
          <t>8.7%</t>
        </is>
      </c>
    </row>
    <row r="12">
      <c r="A12" s="29" t="inlineStr">
        <is>
          <t>13:00 - 14:00</t>
        </is>
      </c>
      <c r="B12" s="30" t="n">
        <v>12</v>
      </c>
      <c r="C12" s="31" t="n">
        <v>3</v>
      </c>
      <c r="D12" s="32" t="n">
        <v>1</v>
      </c>
      <c r="E12" s="33" t="n">
        <v>2</v>
      </c>
      <c r="F12" s="34" t="n">
        <v>5</v>
      </c>
      <c r="G12" s="24" t="n">
        <v>1</v>
      </c>
      <c r="H12" s="35" t="inlineStr">
        <is>
          <t>8.0%</t>
        </is>
      </c>
    </row>
    <row r="13">
      <c r="A13" s="29" t="inlineStr">
        <is>
          <t>14:00 - 15:00</t>
        </is>
      </c>
      <c r="B13" s="30" t="n">
        <v>14</v>
      </c>
      <c r="C13" s="31" t="n">
        <v>2</v>
      </c>
      <c r="D13" s="32" t="n">
        <v>5</v>
      </c>
      <c r="E13" s="33" t="n">
        <v>4</v>
      </c>
      <c r="F13" s="34" t="n">
        <v>1</v>
      </c>
      <c r="G13" s="24" t="n">
        <v>2</v>
      </c>
      <c r="H13" s="35" t="inlineStr">
        <is>
          <t>9.3%</t>
        </is>
      </c>
    </row>
    <row r="14">
      <c r="A14" s="29" t="inlineStr">
        <is>
          <t>15:00 - 16:00</t>
        </is>
      </c>
      <c r="B14" s="30" t="n">
        <v>10</v>
      </c>
      <c r="C14" s="31" t="n">
        <v>3</v>
      </c>
      <c r="D14" s="32" t="n">
        <v>3</v>
      </c>
      <c r="E14" s="33" t="n">
        <v>3</v>
      </c>
      <c r="F14" s="34" t="n">
        <v>1</v>
      </c>
      <c r="G14" s="36" t="n">
        <v>0</v>
      </c>
      <c r="H14" s="35" t="inlineStr">
        <is>
          <t>6.7%</t>
        </is>
      </c>
    </row>
    <row r="15">
      <c r="A15" s="29" t="inlineStr">
        <is>
          <t>16:00 - 17:00</t>
        </is>
      </c>
      <c r="B15" s="30" t="n">
        <v>14</v>
      </c>
      <c r="C15" s="31" t="n">
        <v>3</v>
      </c>
      <c r="D15" s="32" t="n">
        <v>1</v>
      </c>
      <c r="E15" s="33" t="n">
        <v>2</v>
      </c>
      <c r="F15" s="34" t="n">
        <v>4</v>
      </c>
      <c r="G15" s="24" t="n">
        <v>4</v>
      </c>
      <c r="H15" s="35" t="inlineStr">
        <is>
          <t>9.3%</t>
        </is>
      </c>
    </row>
    <row r="16">
      <c r="A16" s="29" t="inlineStr">
        <is>
          <t>17:00 - 18:00</t>
        </is>
      </c>
      <c r="B16" s="30" t="n">
        <v>11</v>
      </c>
      <c r="C16" s="31" t="n">
        <v>1</v>
      </c>
      <c r="D16" s="32" t="n">
        <v>3</v>
      </c>
      <c r="E16" s="33" t="n">
        <v>4</v>
      </c>
      <c r="F16" s="34" t="n">
        <v>1</v>
      </c>
      <c r="G16" s="24" t="n">
        <v>2</v>
      </c>
      <c r="H16" s="35" t="inlineStr">
        <is>
          <t>7.3%</t>
        </is>
      </c>
    </row>
    <row r="17">
      <c r="A17" s="29" t="inlineStr">
        <is>
          <t>18:00 - 19:00</t>
        </is>
      </c>
      <c r="B17" s="30" t="n">
        <v>16</v>
      </c>
      <c r="C17" s="31" t="n">
        <v>2</v>
      </c>
      <c r="D17" s="32" t="n">
        <v>3</v>
      </c>
      <c r="E17" s="33" t="n">
        <v>5</v>
      </c>
      <c r="F17" s="34" t="n">
        <v>5</v>
      </c>
      <c r="G17" s="24" t="n">
        <v>1</v>
      </c>
      <c r="H17" s="35" t="inlineStr">
        <is>
          <t>10.7%</t>
        </is>
      </c>
    </row>
    <row r="18">
      <c r="A18" s="29" t="inlineStr">
        <is>
          <t>19:00 - 20:00</t>
        </is>
      </c>
      <c r="B18" s="30" t="n">
        <v>9</v>
      </c>
      <c r="C18" s="31" t="n">
        <v>3</v>
      </c>
      <c r="D18" s="32" t="n">
        <v>2</v>
      </c>
      <c r="E18" s="33" t="n">
        <v>3</v>
      </c>
      <c r="F18" s="34" t="n">
        <v>1</v>
      </c>
      <c r="G18" s="36" t="n">
        <v>0</v>
      </c>
      <c r="H18" s="35" t="inlineStr">
        <is>
          <t>6.0%</t>
        </is>
      </c>
    </row>
    <row r="19">
      <c r="A19" s="29" t="inlineStr">
        <is>
          <t>20:00 - 21:00</t>
        </is>
      </c>
      <c r="B19" s="30" t="n">
        <v>6</v>
      </c>
      <c r="C19" s="36" t="n">
        <v>0</v>
      </c>
      <c r="D19" s="36" t="n">
        <v>0</v>
      </c>
      <c r="E19" s="33" t="n">
        <v>3</v>
      </c>
      <c r="F19" s="34" t="n">
        <v>3</v>
      </c>
      <c r="G19" s="36" t="n">
        <v>0</v>
      </c>
      <c r="H19" s="35" t="inlineStr">
        <is>
          <t>4.0%</t>
        </is>
      </c>
    </row>
    <row r="20">
      <c r="A20" s="28" t="inlineStr">
        <is>
          <t>21:00 - 22:00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inlineStr">
        <is>
          <t>0.0%</t>
        </is>
      </c>
    </row>
    <row r="21">
      <c r="A21" s="28" t="inlineStr">
        <is>
          <t>22:00 - 23:00</t>
        </is>
      </c>
      <c r="B21" s="21" t="n">
        <v>0</v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inlineStr">
        <is>
          <t>0.0%</t>
        </is>
      </c>
    </row>
    <row r="22">
      <c r="A22" s="37" t="inlineStr">
        <is>
          <t>TOTAL</t>
        </is>
      </c>
      <c r="B22" s="38">
        <f>SUM(B5:B21)</f>
        <v/>
      </c>
      <c r="C22" s="38">
        <f>SUM(C5:C21)</f>
        <v/>
      </c>
      <c r="D22" s="38">
        <f>SUM(D5:D21)</f>
        <v/>
      </c>
      <c r="E22" s="38">
        <f>SUM(E5:E21)</f>
        <v/>
      </c>
      <c r="F22" s="38">
        <f>SUM(F5:F21)</f>
        <v/>
      </c>
      <c r="G22" s="38">
        <f>SUM(G5:G21)</f>
        <v/>
      </c>
      <c r="H22" s="38" t="inlineStr">
        <is>
          <t>100%</t>
        </is>
      </c>
    </row>
    <row r="24">
      <c r="A24" s="39" t="inlineStr">
        <is>
          <t>LEYENDA: HORAS PICO</t>
        </is>
      </c>
    </row>
    <row r="25">
      <c r="A25" s="40" t="inlineStr">
        <is>
          <t>07:00 - 10:00</t>
        </is>
      </c>
      <c r="B25" s="41" t="inlineStr">
        <is>
          <t>MAÑANA (Alta)</t>
        </is>
      </c>
      <c r="C25" s="42" t="inlineStr">
        <is>
          <t>Llegada de pacientes post-madrugada</t>
        </is>
      </c>
    </row>
    <row r="26">
      <c r="A26" s="40" t="inlineStr">
        <is>
          <t>12:00 - 15:00</t>
        </is>
      </c>
      <c r="B26" s="41" t="inlineStr">
        <is>
          <t>TARDE (Muy Alta)</t>
        </is>
      </c>
      <c r="C26" s="42" t="inlineStr">
        <is>
          <t>Hora de mayor afluencia del día</t>
        </is>
      </c>
    </row>
    <row r="27">
      <c r="A27" s="40" t="inlineStr">
        <is>
          <t>18:00 - 21:00</t>
        </is>
      </c>
      <c r="B27" s="41" t="inlineStr">
        <is>
          <t>NOCHE (Media-Alta)</t>
        </is>
      </c>
      <c r="C27" s="42" t="inlineStr">
        <is>
          <t>Pacientes post-jornada laboral</t>
        </is>
      </c>
    </row>
  </sheetData>
  <mergeCells count="6">
    <mergeCell ref="A3:H3"/>
    <mergeCell ref="C25:D25"/>
    <mergeCell ref="C27:D27"/>
    <mergeCell ref="A24:D24"/>
    <mergeCell ref="A1:H1"/>
    <mergeCell ref="C26:D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2026-05-27T22:47:34Z</dcterms:created>
  <dcterms:modified xsi:type="dcterms:W3CDTF">2026-05-27T22:47:36Z</dcterms:modified>
</cp:coreProperties>
</file>